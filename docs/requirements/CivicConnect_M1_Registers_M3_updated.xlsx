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1.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c1a97de0db3d4a69" /></Relationships>
</file>

<file path=xl/workbook.xml><?xml version="1.0" encoding="utf-8"?>
<x:workbook xmlns:x="http://schemas.openxmlformats.org/spreadsheetml/2006/main">
  <x:sheets>
    <x:sheet xmlns:r="http://schemas.openxmlformats.org/officeDocument/2006/relationships" name="README" sheetId="1" r:id="R4fb6bcd8c4824ef4"/>
    <x:sheet xmlns:r="http://schemas.openxmlformats.org/officeDocument/2006/relationships" name="Stakeholders" sheetId="2" r:id="R4a8ab906c418403a"/>
    <x:sheet xmlns:r="http://schemas.openxmlformats.org/officeDocument/2006/relationships" name="Scope Baseline" sheetId="3" r:id="Rffdb5c6376824895"/>
    <x:sheet xmlns:r="http://schemas.openxmlformats.org/officeDocument/2006/relationships" name="Requirements (FR)" sheetId="4" r:id="Rc4fe4f8c1d2441ac"/>
    <x:sheet xmlns:r="http://schemas.openxmlformats.org/officeDocument/2006/relationships" name="Requirements (NFR)" sheetId="5" r:id="R47ea69e22a544c0c"/>
    <x:sheet xmlns:r="http://schemas.openxmlformats.org/officeDocument/2006/relationships" name="Constraints" sheetId="6" r:id="R2578bb1f50824328"/>
    <x:sheet xmlns:r="http://schemas.openxmlformats.org/officeDocument/2006/relationships" name="RTM" sheetId="7" r:id="R05f0a7cbafb04c71"/>
    <x:sheet xmlns:r="http://schemas.openxmlformats.org/officeDocument/2006/relationships" name="Risk Register" sheetId="8" r:id="R1271218e60aa40ed"/>
    <x:sheet xmlns:r="http://schemas.openxmlformats.org/officeDocument/2006/relationships" name="Forward Considerations" sheetId="9" r:id="Rd84ecb6e3d3142fe"/>
    <x:sheet xmlns:r="http://schemas.openxmlformats.org/officeDocument/2006/relationships" name="Decision Log" sheetId="10" r:id="R6769e8532b194f35"/>
    <x:sheet xmlns:r="http://schemas.openxmlformats.org/officeDocument/2006/relationships" name="AI Usage Register" sheetId="11" r:id="R73be707933be46e3"/>
    <x:sheet xmlns:r="http://schemas.openxmlformats.org/officeDocument/2006/relationships" name="Change Requests" sheetId="12" r:id="R49a9caac2f14447d"/>
    <x:sheet xmlns:r="http://schemas.openxmlformats.org/officeDocument/2006/relationships" name="Status Model" sheetId="13" r:id="Rfd8bdbda4af84464"/>
    <x:sheet xmlns:r="http://schemas.openxmlformats.org/officeDocument/2006/relationships" name="Access Matrix" sheetId="14" r:id="R474693c9039c40c0"/>
    <x:sheet xmlns:r="http://schemas.openxmlformats.org/officeDocument/2006/relationships" name="Team Working Agreement" sheetId="15" r:id="R519bb2fd2c8141aa"/>
    <x:sheet xmlns:r="http://schemas.openxmlformats.org/officeDocument/2006/relationships" name="GitHub Governance" sheetId="16" r:id="Rb8b8ce205a9946a6"/>
    <x:sheet xmlns:r="http://schemas.openxmlformats.org/officeDocument/2006/relationships" name="Baseline Sign-off" sheetId="17" r:id="R6cbe3ca49ffa4865"/>
    <x:sheet xmlns:r="http://schemas.openxmlformats.org/officeDocument/2006/relationships" name="Technical Debt Register" sheetId="18" r:id="R8ea2245b15be4794"/>
    <x:sheet xmlns:r="http://schemas.openxmlformats.org/officeDocument/2006/relationships" name="Defect Register" sheetId="19" r:id="R4e007ac8f3984c1f"/>
    <x:sheet xmlns:r="http://schemas.openxmlformats.org/officeDocument/2006/relationships" name="Personal Data Inventory" sheetId="20" r:id="R8eefa77813f94b9b"/>
  </x:sheets>
</x:workbook>
</file>

<file path=xl/comments1.xml><?xml version="1.0" encoding="utf-8"?>
<x:comments xmlns:x="http://schemas.openxmlformats.org/spreadsheetml/2006/main">
  <x:authors>
    <x:author>Unknown Author</x:author>
  </x:authors>
  <x:commentList>
    <x:comment ref="F2" authorId="0">
      <x:text>
        <x:r>
          <x:t>Exposure = Probability x Impact, on a 1-5 scale each (max 25).</x:t>
        </x:r>
      </x:text>
    </x:comment>
    <x:comment ref="G2" authorId="0">
      <x:text>
        <x:r>
          <x:t>Critical &gt;= 20, High 12-19, Medium 6-11, Low &lt; 6.</x:t>
        </x:r>
      </x:text>
    </x:comment>
  </x:commentList>
</x:comments>
</file>

<file path=xl/sharedStrings.xml><?xml version="1.0" encoding="utf-8"?>
<x:sst xmlns:x="http://schemas.openxmlformats.org/spreadsheetml/2006/main">
  <x:si>
    <x:t xml:space="preserve">CivicConnect - Milestone 1 controlled registers</x:t>
  </x:si>
  <x:si>
    <x:t xml:space="preserve">Purpose</x:t>
  </x:si>
  <x:si>
    <x:t xml:space="preserve">These are the live engineering registers referenced by PED v1.0. They are controlled project artefacts: keep them in the team repository and change them through Pull Requests, like code.</x:t>
  </x:si>
  <x:si>
    <x:t xml:space="preserve">Version</x:t>
  </x:si>
  <x:si>
    <x:t xml:space="preserve">1.0 - baselined at the M1 engineering gate</x:t>
  </x:si>
  <x:si>
    <x:t xml:space="preserve">Owner</x:t>
  </x:si>
  <x:si>
    <x:t xml:space="preserve">[Team name / registered team members]</x:t>
  </x:si>
  <x:si>
    <x:t xml:space="preserve">HOW TO USE THIS FILE</x:t>
  </x:si>
  <x:si>
    <x:t xml:space="preserve">Yellow cells</x:t>
  </x:si>
  <x:si>
    <x:t xml:space="preserve">Placeholders you must replace. Every one is written in [square brackets]. Search the workbook for '[' to find them all.</x:t>
  </x:si>
  <x:si>
    <x:t xml:space="preserve">Identifiers</x:t>
  </x:si>
  <x:si>
    <x:t xml:space="preserve">Do not renumber FR, NFR, RSK, DEC, FEC or SC identifiers once baselined. The RTM and the PED both reference them, and renumbering silently breaks traceability.</x:t>
  </x:si>
  <x:si>
    <x:t xml:space="preserve">Formulas</x:t>
  </x:si>
  <x:si>
    <x:t xml:space="preserve">Exposure and Priority on the Risk Register are formulas. Change Probability or Impact and they recalculate. Do not overwrite them with typed values.</x:t>
  </x:si>
  <x:si>
    <x:t xml:space="preserve">Adding rows</x:t>
  </x:si>
  <x:si>
    <x:t xml:space="preserve">Add rows at the bottom of a sheet and continue the identifier sequence. Update the RTM in the same change.</x:t>
  </x:si>
  <x:si>
    <x:t xml:space="preserve">Evidence columns</x:t>
  </x:si>
  <x:si>
    <x:t xml:space="preserve">BASELINE SUMMARY</x:t>
  </x:si>
  <x:si>
    <x:t xml:space="preserve">Functional requirements</x:t>
  </x:si>
  <x:si>
    <x:t xml:space="preserve">  of which Must</x:t>
  </x:si>
  <x:si>
    <x:t xml:space="preserve">  of which Should</x:t>
  </x:si>
  <x:si>
    <x:t xml:space="preserve">  of which Could</x:t>
  </x:si>
  <x:si>
    <x:t xml:space="preserve">Non-functional requirements</x:t>
  </x:si>
  <x:si>
    <x:t xml:space="preserve">RTM rows</x:t>
  </x:si>
  <x:si>
    <x:t xml:space="preserve">Risks - Critical</x:t>
  </x:si>
  <x:si>
    <x:t xml:space="preserve">Risks - High</x:t>
  </x:si>
  <x:si>
    <x:t xml:space="preserve">Risks - Medium</x:t>
  </x:si>
  <x:si>
    <x:t xml:space="preserve">Risks - Low</x:t>
  </x:si>
  <x:si>
    <x:t xml:space="preserve">Forward considerations</x:t>
  </x:si>
  <x:si>
    <x:t xml:space="preserve">Decisions recorded</x:t>
  </x:si>
  <x:si>
    <x:t xml:space="preserve">  of which deferred</x:t>
  </x:si>
  <x:si>
    <x:t xml:space="preserve">Stakeholder analysis baselined in PED v1.0 s5. Conflicts are stated explicitly because the resolution of each one is traceable to a requirement or a decision.</x:t>
  </x:si>
  <x:si>
    <x:t xml:space="preserve">ID</x:t>
  </x:si>
  <x:si>
    <x:t xml:space="preserve">Stakeholder</x:t>
  </x:si>
  <x:si>
    <x:t xml:space="preserve">Role and interest</x:t>
  </x:si>
  <x:si>
    <x:t xml:space="preserve">Needs</x:t>
  </x:si>
  <x:si>
    <x:t xml:space="preserve">Influence</x:t>
  </x:si>
  <x:si>
    <x:t xml:space="preserve">Interest</x:t>
  </x:si>
  <x:si>
    <x:t xml:space="preserve">Conflicts and how they are resolved</x:t>
  </x:si>
  <x:si>
    <x:t xml:space="preserve">STK-01</x:t>
  </x:si>
  <x:si>
    <x:t xml:space="preserve">Requester (community member or staff submitting a request)</x:t>
  </x:si>
  <x:si>
    <x:t xml:space="preserve">Raises service requests and needs to know what happened to them</x:t>
  </x:si>
  <x:si>
    <x:t xml:space="preserve">Simple submission; confirmation that the request was received; visible status without chasing anyone; a record of past requests</x:t>
  </x:si>
  <x:si>
    <x:t xml:space="preserve">Low</x:t>
  </x:si>
  <x:si>
    <x:t xml:space="preserve">High</x:t>
  </x:si>
  <x:si>
    <x:t xml:space="preserve">Wants full visibility of who is working on the request and what they have written. Conflicts with STK-02, who needs candid internal working notes. Resolved by DEC-003.</x:t>
  </x:si>
  <x:si>
    <x:t xml:space="preserve">STK-02</x:t>
  </x:si>
  <x:si>
    <x:t xml:space="preserve">Service staff / technician</x:t>
  </x:si>
  <x:si>
    <x:t xml:space="preserve">Carries out the work and records what was done</x:t>
  </x:si>
  <x:si>
    <x:t xml:space="preserve">A queue of only relevant work; enough detail to act without phoning back; ability to record honest internal notes; not to be interrupted across five channels</x:t>
  </x:si>
  <x:si>
    <x:t xml:space="preserve">Medium</x:t>
  </x:si>
  <x:si>
    <x:t xml:space="preserve">Wants broad visibility of all requests for context. Conflicts with the least-privilege security constraint. Resolved by scoping the queue to authorised categories (FR-013) rather than granting global read.</x:t>
  </x:si>
  <x:si>
    <x:t xml:space="preserve">STK-03</x:t>
  </x:si>
  <x:si>
    <x:t xml:space="preserve">Service coordinator / supervisor</x:t>
  </x:si>
  <x:si>
    <x:t xml:space="preserve">Assigns work, sets priority and keeps the queue moving</x:t>
  </x:si>
  <x:si>
    <x:t xml:space="preserve">Reliable prioritisation; clear ownership of every request; ability to reassign; visibility of ageing and overdue work</x:t>
  </x:si>
  <x:si>
    <x:t xml:space="preserve">Needs to own priority. Conflicts with STK-01, who wants to declare their own request urgent. Resolved by DEC-002: requester urgency is an input, coordinator sets priority.</x:t>
  </x:si>
  <x:si>
    <x:t xml:space="preserve">STK-04</x:t>
  </x:si>
  <x:si>
    <x:t xml:space="preserve">Management / oversight</x:t>
  </x:si>
  <x:si>
    <x:t xml:space="preserve">Accountable for service performance and reporting</x:t>
  </x:si>
  <x:si>
    <x:t xml:space="preserve">Trustworthy counts of open, overdue, resolved and closed work; breakdown by category; an auditable record of who changed what</x:t>
  </x:si>
  <x:si>
    <x:t xml:space="preserve">Wants rich analytics and export. Conflicts with the schedule and cost constraints. Resolved by baselining a minimal reporting set (FR-022 to FR-024) and deferring the analytics dashboard.</x:t>
  </x:si>
  <x:si>
    <x:t xml:space="preserve">STK-05</x:t>
  </x:si>
  <x:si>
    <x:t xml:space="preserve">System administrator (role held by STK-04 in this baseline)</x:t>
  </x:si>
  <x:si>
    <x:t xml:space="preserve">Maintains users, roles and the controlled category list</x:t>
  </x:si>
  <x:si>
    <x:t xml:space="preserve">Add and deactivate users; maintain categories without breaking historical records</x:t>
  </x:si>
  <x:si>
    <x:t xml:space="preserve">Deleting a category would orphan historical requests. Resolved by FR-027: categories are deactivated, never deleted.</x:t>
  </x:si>
  <x:si>
    <x:t xml:space="preserve">STK-06</x:t>
  </x:si>
  <x:si>
    <x:t xml:space="preserve">Organisation / project sponsor</x:t>
  </x:si>
  <x:si>
    <x:t xml:space="preserve">Funds and owns the platform; accountable for the business outcome</x:t>
  </x:si>
  <x:si>
    <x:t xml:space="preserve">Improved visibility and accountability without an unsustainable technical, operational or financial burden (Master Brief, s2.1)</x:t>
  </x:si>
  <x:si>
    <x:t xml:space="preserve">Cost ceiling constrains the availability target. See CON-03 and the trade-off analysis in s7.1.</x:t>
  </x:si>
  <x:si>
    <x:t xml:space="preserve">STK-07</x:t>
  </x:si>
  <x:si>
    <x:t xml:space="preserve">Information officer / data subject interest</x:t>
  </x:si>
  <x:si>
    <x:t xml:space="preserve">Personal information in requests is processed lawfully</x:t>
  </x:si>
  <x:si>
    <x:t xml:space="preserve">Minimal personal information collected; access restricted to those who need it; a defined retention position</x:t>
  </x:si>
  <x:si>
    <x:t xml:space="preserve">Privacy minimisation conflicts with STK-04's appetite for detailed reporting. Resolved by aggregate reporting (FR-022) rather than personal-level performance data in the baseline.</x:t>
  </x:si>
  <x:si>
    <x:t xml:space="preserve">STK-08</x:t>
  </x:si>
  <x:si>
    <x:t xml:space="preserve">SEN381 lecturer / assessor (acting client and approving authority)</x:t>
  </x:si>
  <x:si>
    <x:t xml:space="preserve">Approves the baseline and issues controlled change</x:t>
  </x:si>
  <x:si>
    <x:t xml:space="preserve">Controlled, traceable and defensible engineering evidence; a formal change request will be issued in M3 (Master Brief, s20.3)</x:t>
  </x:si>
  <x:si>
    <x:t xml:space="preserve">The known M3 change request is treated as a planned event, not a surprise. See RSK-03.</x:t>
  </x:si>
  <x:si>
    <x:t xml:space="preserve">STK-09</x:t>
  </x:si>
  <x:si>
    <x:t xml:space="preserve">Development team (three registered students)</x:t>
  </x:si>
  <x:si>
    <x:t xml:space="preserve">Engineers, operates and defends the system</x:t>
  </x:si>
  <x:si>
    <x:t xml:space="preserve">Achievable scope within the delivery period; a stack the team can actually learn and support; time for review and verification</x:t>
  </x:si>
  <x:si>
    <x:t xml:space="preserve">Capability is a resource constraint that limits buildable scope. See CON-06 and RSK-01.</x:t>
  </x:si>
  <x:si>
    <x:t xml:space="preserve">Baselined scope. An item moves between these three lists only through a change request recorded on the Change Requests sheet (Master Brief s14).</x:t>
  </x:si>
  <x:si>
    <x:t xml:space="preserve">Type</x:t>
  </x:si>
  <x:si>
    <x:t xml:space="preserve">Item</x:t>
  </x:si>
  <x:si>
    <x:t xml:space="preserve">Requirements</x:t>
  </x:si>
  <x:si>
    <x:t xml:space="preserve">Justification / reconsideration trigger</x:t>
  </x:si>
  <x:si>
    <x:t xml:space="preserve">SC-I-01</x:t>
  </x:si>
  <x:si>
    <x:t xml:space="preserve">In scope</x:t>
  </x:si>
  <x:si>
    <x:t xml:space="preserve">Authenticated access with four roles: Requester, Staff, Coordinator, Manager</x:t>
  </x:si>
  <x:si>
    <x:t xml:space="preserve">FR-001 to FR-004</x:t>
  </x:si>
  <x:si>
    <x:t xml:space="preserve">SC-I-02</x:t>
  </x:si>
  <x:si>
    <x:t xml:space="preserve">Service request submission with a controlled category, description, location and reported urgency</x:t>
  </x:si>
  <x:si>
    <x:t xml:space="preserve">FR-005 to FR-009</x:t>
  </x:si>
  <x:si>
    <x:t xml:space="preserve">SC-I-03</x:t>
  </x:si>
  <x:si>
    <x:t xml:space="preserve">A unique, human-readable request reference issued at submission</x:t>
  </x:si>
  <x:si>
    <x:t xml:space="preserve">FR-008</x:t>
  </x:si>
  <x:si>
    <x:t xml:space="preserve">SC-I-04</x:t>
  </x:si>
  <x:si>
    <x:t xml:space="preserve">Requester visibility of their own requests, current status and status history</x:t>
  </x:si>
  <x:si>
    <x:t xml:space="preserve">FR-010 to FR-012</x:t>
  </x:si>
  <x:si>
    <x:t xml:space="preserve">SC-I-05</x:t>
  </x:si>
  <x:si>
    <x:t xml:space="preserve">Staff work queue with search, filter and sort</x:t>
  </x:si>
  <x:si>
    <x:t xml:space="preserve">FR-013, FR-014</x:t>
  </x:si>
  <x:si>
    <x:t xml:space="preserve">SC-I-06</x:t>
  </x:si>
  <x:si>
    <x:t xml:space="preserve">Assignment and acceptance of ownership</x:t>
  </x:si>
  <x:si>
    <x:t xml:space="preserve">FR-015</x:t>
  </x:si>
  <x:si>
    <x:t xml:space="preserve">SC-I-07</x:t>
  </x:si>
  <x:si>
    <x:t xml:space="preserve">Controlled status transitions across a single agreed status model</x:t>
  </x:si>
  <x:si>
    <x:t xml:space="preserve">FR-016, FR-018 to FR-020</x:t>
  </x:si>
  <x:si>
    <x:t xml:space="preserve">SC-I-08</x:t>
  </x:si>
  <x:si>
    <x:t xml:space="preserve">Action and comment log separated into internal and requester-visible entries</x:t>
  </x:si>
  <x:si>
    <x:t xml:space="preserve">FR-017</x:t>
  </x:si>
  <x:si>
    <x:t xml:space="preserve">SC-I-09</x:t>
  </x:si>
  <x:si>
    <x:t xml:space="preserve">Coordinator-owned prioritisation</x:t>
  </x:si>
  <x:si>
    <x:t xml:space="preserve">FR-021</x:t>
  </x:si>
  <x:si>
    <x:t xml:space="preserve">SC-I-10</x:t>
  </x:si>
  <x:si>
    <x:t xml:space="preserve">Management view of open, overdue, resolved and closed counts, by category and status</x:t>
  </x:si>
  <x:si>
    <x:t xml:space="preserve">FR-022 to FR-024</x:t>
  </x:si>
  <x:si>
    <x:t xml:space="preserve">SC-I-11</x:t>
  </x:si>
  <x:si>
    <x:t xml:space="preserve">Append-only audit trail of status, assignment and priority changes</x:t>
  </x:si>
  <x:si>
    <x:t xml:space="preserve">FR-025, FR-026</x:t>
  </x:si>
  <x:si>
    <x:t xml:space="preserve">SC-I-12</x:t>
  </x:si>
  <x:si>
    <x:t xml:space="preserve">Maintenance of the controlled category list and user deactivation</x:t>
  </x:si>
  <x:si>
    <x:t xml:space="preserve">FR-027, FR-028</x:t>
  </x:si>
  <x:si>
    <x:t xml:space="preserve">SC-I-13</x:t>
  </x:si>
  <x:si>
    <x:t xml:space="preserve">In-application notification of acceptance, update, rejection and completion</x:t>
  </x:si>
  <x:si>
    <x:t xml:space="preserve">FR-009, FR-029</x:t>
  </x:si>
  <x:si>
    <x:t xml:space="preserve">SC-O-01</x:t>
  </x:si>
  <x:si>
    <x:t xml:space="preserve">Out of scope</x:t>
  </x:si>
  <x:si>
    <x:t xml:space="preserve">Migration of historical requests from email, spreadsheets, WhatsApp or paper records</x:t>
  </x:si>
  <x:si>
    <x:t xml:space="preserve">No controlled source data exists to migrate, and the quality of the informal records is unknown. Migrating unverified records would corrupt the reporting the platform exists to provide.</x:t>
  </x:si>
  <x:si>
    <x:t xml:space="preserve">SC-O-02</x:t>
  </x:si>
  <x:si>
    <x:t xml:space="preserve">Integration with the existing telephone, email or WhatsApp channels</x:t>
  </x:si>
  <x:si>
    <x:t xml:space="preserve">See the defended exclusion in s6.4. Re-admitting uncontrolled channels would recreate the fragmentation identified in the Master Brief s2.</x:t>
  </x:si>
  <x:si>
    <x:t xml:space="preserve">SC-O-03</x:t>
  </x:si>
  <x:si>
    <x:t xml:space="preserve">Native mobile applications</x:t>
  </x:si>
  <x:si>
    <x:t xml:space="preserve">A responsive web interface meets the stated requester need. A native application multiplies build, test, store-release and maintenance obligations across two additional platforms.</x:t>
  </x:si>
  <x:si>
    <x:t xml:space="preserve">SC-O-04</x:t>
  </x:si>
  <x:si>
    <x:t xml:space="preserve">Cost, procurement, work-order or contractor payment handling</x:t>
  </x:si>
  <x:si>
    <x:t xml:space="preserve">Outside the stated business need. Introduces financial data and a materially higher security and audit obligation.</x:t>
  </x:si>
  <x:si>
    <x:t xml:space="preserve">SC-O-05</x:t>
  </x:si>
  <x:si>
    <x:t xml:space="preserve">Anonymous public submission without an account</x:t>
  </x:si>
  <x:si>
    <x:t xml:space="preserve">Conflicts with FR-012 record isolation and with the accountability the platform exists to establish; also removes the ability to give the requester status visibility.</x:t>
  </x:si>
  <x:si>
    <x:t xml:space="preserve">SC-O-06</x:t>
  </x:si>
  <x:si>
    <x:t xml:space="preserve">External vendor SLA and contract management</x:t>
  </x:si>
  <x:si>
    <x:t xml:space="preserve">No stakeholder in the analysis owns this need.</x:t>
  </x:si>
  <x:si>
    <x:t xml:space="preserve">SC-D-01</x:t>
  </x:si>
  <x:si>
    <x:t xml:space="preserve">Deferred</x:t>
  </x:si>
  <x:si>
    <x:t xml:space="preserve">Email or SMS notification channel</x:t>
  </x:si>
  <x:si>
    <x:t xml:space="preserve">Requires an always-on background worker or scheduled job. Whether that is available within the cost constraint is unknown until the deployment platform is decided in M2. See FEC-03.  ||  Reconsider when: M2 platform decision confirms background-process support within free or low-cost limits</x:t>
  </x:si>
  <x:si>
    <x:t xml:space="preserve">SC-D-02</x:t>
  </x:si>
  <x:si>
    <x:t xml:space="preserve">File attachments on requests (for example a photograph of a fault)</x:t>
  </x:si>
  <x:si>
    <x:t xml:space="preserve">See the defended exclusion in s6.4.  ||  Reconsider when: Storage cost, content-type validation, malware scanning and a retention position are all specified and affordable</x:t>
  </x:si>
  <x:si>
    <x:t xml:space="preserve">SC-D-03</x:t>
  </x:si>
  <x:si>
    <x:t xml:space="preserve">Configurable per-category service targets and automated escalation</x:t>
  </x:si>
  <x:si>
    <x:t xml:space="preserve">The baseline uses a single organisation-wide response target so that 'overdue' has one unambiguous definition (FEC-02). Per-category targets multiply the reporting and test surface.  ||  Reconsider when: The organisation confirms differentiated targets are actually required and supplies the values</x:t>
  </x:si>
  <x:si>
    <x:t xml:space="preserve">SC-D-04</x:t>
  </x:si>
  <x:si>
    <x:t xml:space="preserve">Analytics dashboard with trend charts and data export</x:t>
  </x:si>
  <x:si>
    <x:t xml:space="preserve">Management need is met in the baseline by counts and breakdowns. Charting and export add build and verification cost that the schedule cannot absorb in M1 to M3.  ||  Reconsider when: Baseline reporting is delivered and stakeholder feedback confirms the gap</x:t>
  </x:si>
  <x:si>
    <x:t xml:space="preserve">SC-D-05</x:t>
  </x:si>
  <x:si>
    <x:t xml:space="preserve">Multi-site or multi-organisation separation</x:t>
  </x:si>
  <x:si>
    <x:t xml:space="preserve">Not required by the stated scenario, but it is a data-model property that cannot be added cheaply later. Recorded now so the M2 data design keeps the option open. See FEC-01.  ||  Reconsider when: The organisation confirms more than one site or tenant is in view</x:t>
  </x:si>
  <x:si>
    <x:t xml:space="preserve">SC-D-06</x:t>
  </x:si>
  <x:si>
    <x:t xml:space="preserve">Bulk import of historical requests</x:t>
  </x:si>
  <x:si>
    <x:t xml:space="preserve">Depends on SC-O-01 being reconsidered and on a source of acceptable quality being identified.  ||  Reconsider when: A controlled, quality-assessed source dataset is provided</x:t>
  </x:si>
  <x:si>
    <x:t xml:space="preserve">Functional requirements. Identifiers are stable once baselined and must not be renumbered: the RTM, risks and decisions all reference them (Master Brief s11).</x:t>
  </x:si>
  <x:si>
    <x:t xml:space="preserve">Requirement</x:t>
  </x:si>
  <x:si>
    <x:t xml:space="preserve">Source</x:t>
  </x:si>
  <x:si>
    <x:t xml:space="preserve">Priority</x:t>
  </x:si>
  <x:si>
    <x:t xml:space="preserve">Acceptance criteria</x:t>
  </x:si>
  <x:si>
    <x:t xml:space="preserve">Status</x:t>
  </x:si>
  <x:si>
    <x:t xml:space="preserve">FR-001</x:t>
  </x:si>
  <x:si>
    <x:t xml:space="preserve">The system shall require a registered user to authenticate with a unique identifier and secret before any service request data is returned.</x:t>
  </x:si>
  <x:si>
    <x:t xml:space="preserve">STK-06, STK-07</x:t>
  </x:si>
  <x:si>
    <x:t xml:space="preserve">Must</x:t>
  </x:si>
  <x:si>
    <x:t xml:space="preserve">GIVEN an unauthenticated visitor WHEN any protected page or endpoint is requested THEN no request data is returned and the visitor is redirected to sign-in. GIVEN valid credentials WHEN submitted THEN an authenticated session is established. GIVEN invalid credentials WHEN submitted THEN a single generic failure message is shown that does not reveal whether the identifier exists.</x:t>
  </x:si>
  <x:si>
    <x:t xml:space="preserve">Baselined</x:t>
  </x:si>
  <x:si>
    <x:t xml:space="preserve">FR-002</x:t>
  </x:si>
  <x:si>
    <x:t xml:space="preserve">The system shall enforce role-based access control for the roles Requester, Staff, Coordinator and Manager, with every permission decision made server-side.</x:t>
  </x:si>
  <x:si>
    <x:t xml:space="preserve">STK-03, STK-06</x:t>
  </x:si>
  <x:si>
    <x:t xml:space="preserve">For every role and function pair in the access matrix (PED Table 6.5), a user holding the role can invoke the permitted functions and receives an authorisation failure for every function not permitted to that role, including when the request is issued directly to the endpoint rather than through the interface.</x:t>
  </x:si>
  <x:si>
    <x:t xml:space="preserve">FR-003</x:t>
  </x:si>
  <x:si>
    <x:t xml:space="preserve">The system shall allow a Manager to create a user account and assign exactly one role to it.</x:t>
  </x:si>
  <x:si>
    <x:t xml:space="preserve">GIVEN a Manager WHEN a new account is created with a role THEN the account can authenticate and holds only that role's permissions. A non-Manager attempting account creation is refused.</x:t>
  </x:si>
  <x:si>
    <x:t xml:space="preserve">FR-004</x:t>
  </x:si>
  <x:si>
    <x:t xml:space="preserve">The system shall allow a user to reset a forgotten credential through a controlled process that does not disclose whether an account exists.</x:t>
  </x:si>
  <x:si>
    <x:t xml:space="preserve">Should</x:t>
  </x:si>
  <x:si>
    <x:t xml:space="preserve">GIVEN a reset request for any identifier WHEN submitted THEN the same confirmation message is shown whether or not the account exists. A reset link is single-use and expires within a defined period.</x:t>
  </x:si>
  <x:si>
    <x:t xml:space="preserve">FR-005</x:t>
  </x:si>
  <x:si>
    <x:t xml:space="preserve">The system shall allow a Requester to submit a service request capturing title, description, category, location and reported urgency.</x:t>
  </x:si>
  <x:si>
    <x:t xml:space="preserve">GIVEN a Requester with all mandatory fields completed WHEN the request is submitted THEN the request is persisted with status New and is visible in the Requester's own list. Every field captured is displayed unchanged on the request detail view.</x:t>
  </x:si>
  <x:si>
    <x:t xml:space="preserve">FR-006</x:t>
  </x:si>
  <x:si>
    <x:t xml:space="preserve">The system shall require the request category to be selected from a controlled list maintained by a Manager, and shall not accept a free-text category.</x:t>
  </x:si>
  <x:si>
    <x:t xml:space="preserve">STK-04, STK-05</x:t>
  </x:si>
  <x:si>
    <x:t xml:space="preserve">The category input offers only active categories from the controlled list. A submission carrying a category value that is not an active list entry is rejected with a validation error, including when submitted directly to the endpoint.</x:t>
  </x:si>
  <x:si>
    <x:t xml:space="preserve">FR-007</x:t>
  </x:si>
  <x:si>
    <x:t xml:space="preserve">The system shall validate mandatory fields and field formats before accepting a submission, and shall report each failure in a message that identifies the field and the correction needed.</x:t>
  </x:si>
  <x:si>
    <x:t xml:space="preserve">GIVEN a submission with a missing or invalid mandatory field WHEN submitted THEN the request is not persisted, each failing field is identified, and previously entered values are retained in the form.</x:t>
  </x:si>
  <x:si>
    <x:t xml:space="preserve">The system shall assign every accepted request a unique, human-readable reference that is never reused.</x:t>
  </x:si>
  <x:si>
    <x:t xml:space="preserve">STK-01, STK-03</x:t>
  </x:si>
  <x:si>
    <x:t xml:space="preserve">Each accepted submission receives a reference matching the agreed format. Two requests never share a reference. A reference is not reissued after a request is deleted or archived. The reference is displayed on submission and on every subsequent view of that request.</x:t>
  </x:si>
  <x:si>
    <x:t xml:space="preserve">FR-009</x:t>
  </x:si>
  <x:si>
    <x:t xml:space="preserve">The system shall present the Requester with an in-application acknowledgement on successful submission, showing the reference and the date and time recorded.</x:t>
  </x:si>
  <x:si>
    <x:t xml:space="preserve">GIVEN a successful submission WHEN the acknowledgement is displayed THEN it contains the reference and the recorded timestamp, and the same values appear on the request detail view.</x:t>
  </x:si>
  <x:si>
    <x:t xml:space="preserve">FR-010</x:t>
  </x:si>
  <x:si>
    <x:t xml:space="preserve">The system shall allow a Requester to view a list of their own requests showing reference, title, category, current status, submission date and date of last update.</x:t>
  </x:si>
  <x:si>
    <x:t xml:space="preserve">GIVEN a Requester with at least one request WHEN the list is opened THEN every request they submitted appears exactly once with all six fields populated, and no request submitted by another user appears.</x:t>
  </x:si>
  <x:si>
    <x:t xml:space="preserve">FR-011</x:t>
  </x:si>
  <x:si>
    <x:t xml:space="preserve">The system shall allow a Requester to view the full detail and status history of their own request, showing only entries marked requester-visible.</x:t>
  </x:si>
  <x:si>
    <x:t xml:space="preserve">STK-01, STK-02</x:t>
  </x:si>
  <x:si>
    <x:t xml:space="preserve">The detail view shows the request fields, the ordered status history with timestamps, and only those action entries marked requester-visible. No entry marked internal appears in the response payload, not only in the rendered page.</x:t>
  </x:si>
  <x:si>
    <x:t xml:space="preserve">FR-012</x:t>
  </x:si>
  <x:si>
    <x:t xml:space="preserve">The system shall prevent a Requester from retrieving any request they did not submit.</x:t>
  </x:si>
  <x:si>
    <x:t xml:space="preserve">STK-01, STK-07</x:t>
  </x:si>
  <x:si>
    <x:t xml:space="preserve">GIVEN Requester A and a request belonging to Requester B WHEN A requests that record by reference or identifier, through the interface or directly THEN access is refused and no field of the record is disclosed, including through an error message.</x:t>
  </x:si>
  <x:si>
    <x:t xml:space="preserve">FR-013</x:t>
  </x:si>
  <x:si>
    <x:t xml:space="preserve">The system shall present Staff and Coordinators with a work queue of requests within their authorised category scope.</x:t>
  </x:si>
  <x:si>
    <x:t xml:space="preserve">STK-02, STK-03</x:t>
  </x:si>
  <x:si>
    <x:t xml:space="preserve">GIVEN a Staff member authorised for a set of categories WHEN the queue is opened THEN every open request in those categories appears and no request outside them appears. A Coordinator sees all categories.</x:t>
  </x:si>
  <x:si>
    <x:t xml:space="preserve">FR-014</x:t>
  </x:si>
  <x:si>
    <x:t xml:space="preserve">The system shall allow the queue to be searched by reference and by keyword, filtered by status, category, assignee and date range, and sorted by submission date, last update and priority.</x:t>
  </x:si>
  <x:si>
    <x:t xml:space="preserve">Each named search, filter and sort returns only records satisfying the stated condition, filters combine, and an empty result set is reported as such rather than as an error.</x:t>
  </x:si>
  <x:si>
    <x:t xml:space="preserve">The system shall allow a Coordinator to assign a request to a Staff member, and a Staff member to accept an unassigned request within their authorised categories.</x:t>
  </x:si>
  <x:si>
    <x:t xml:space="preserve">GIVEN a Coordinator WHEN a request is assigned THEN the assignee is recorded and the request appears in that assignee's queue. GIVEN a Staff member and an unassigned request in their scope WHEN accepted THEN they become the assignee. A Staff member cannot assign a request to another user.</x:t>
  </x:si>
  <x:si>
    <x:t xml:space="preserve">FR-016</x:t>
  </x:si>
  <x:si>
    <x:t xml:space="preserve">The system shall permit a status change only where the transition is allowed by the request status model (PED Figure 2) and only by a role authorised for that transition.</x:t>
  </x:si>
  <x:si>
    <x:t xml:space="preserve">STK-03, STK-04</x:t>
  </x:si>
  <x:si>
    <x:t xml:space="preserve">For every ordered pair of statuses, a transition allowed by the model succeeds for an authorised role and every transition not in the model is refused, including when issued directly to the endpoint. A refused transition leaves the stored status unchanged.</x:t>
  </x:si>
  <x:si>
    <x:t xml:space="preserve">The system shall allow Staff and Coordinators to record a dated action entry against a request, marked either internal or requester-visible at the time of entry.</x:t>
  </x:si>
  <x:si>
    <x:t xml:space="preserve">An entry is stored with author, timestamp and visibility. Visibility must be chosen explicitly; there is no default that silently exposes an internal note. FR-011 governs what the Requester then sees.</x:t>
  </x:si>
  <x:si>
    <x:t xml:space="preserve">FR-018</x:t>
  </x:si>
  <x:si>
    <x:t xml:space="preserve">The system shall require a resolution summary before a request may move to Resolved.</x:t>
  </x:si>
  <x:si>
    <x:t xml:space="preserve">An attempt to move a request to Resolved without a non-empty resolution summary is refused with a validation message. On success the summary is stored and is requester-visible.</x:t>
  </x:si>
  <x:si>
    <x:t xml:space="preserve">FR-019</x:t>
  </x:si>
  <x:si>
    <x:t xml:space="preserve">The system shall allow only a Coordinator or Manager to move a Resolved request to Closed.</x:t>
  </x:si>
  <x:si>
    <x:t xml:space="preserve">A Coordinator or Manager can close a Resolved request. A Staff member or Requester attempting the same transition is refused. Closing is recorded in the audit trail.</x:t>
  </x:si>
  <x:si>
    <x:t xml:space="preserve">FR-020</x:t>
  </x:si>
  <x:si>
    <x:t xml:space="preserve">The system shall allow a Coordinator to reject a request with a mandatory reason that is shown to the Requester.</x:t>
  </x:si>
  <x:si>
    <x:t xml:space="preserve">STK-03, STK-01</x:t>
  </x:si>
  <x:si>
    <x:t xml:space="preserve">Rejection without a reason is refused. On rejection the status becomes Rejected, the reason is stored and appears on the Requester's detail view, and the event is audited.</x:t>
  </x:si>
  <x:si>
    <x:t xml:space="preserve">The system shall record the Requester's reported urgency as a separate attribute from the priority, and shall allow only a Coordinator to set or change the priority.</x:t>
  </x:si>
  <x:si>
    <x:t xml:space="preserve">Reported urgency is captured at submission and is not editable by Staff or Coordinators. Priority is absent until set by a Coordinator. A Requester or Staff member attempting to change priority is refused. Both values are visible to Coordinators.</x:t>
  </x:si>
  <x:si>
    <x:t xml:space="preserve">FR-022</x:t>
  </x:si>
  <x:si>
    <x:t xml:space="preserve">The system shall present a Manager with counts of open, overdue, resolved and closed requests for a selected period.</x:t>
  </x:si>
  <x:si>
    <x:t xml:space="preserve">For a seeded dataset with known values, each of the four counts equals the independently calculated value. Overdue uses the single organisation-wide response target defined in the status model.</x:t>
  </x:si>
  <x:si>
    <x:t xml:space="preserve">FR-023</x:t>
  </x:si>
  <x:si>
    <x:t xml:space="preserve">The system shall present the request counts broken down by category and by status.</x:t>
  </x:si>
  <x:si>
    <x:t xml:space="preserve">The breakdown totals reconcile exactly to the totals in FR-022 for the same period and filters.</x:t>
  </x:si>
  <x:si>
    <x:t xml:space="preserve">FR-024</x:t>
  </x:si>
  <x:si>
    <x:t xml:space="preserve">The system shall list overdue requests with reference, category, age and current assignee.</x:t>
  </x:si>
  <x:si>
    <x:t xml:space="preserve">Every request whose age against the response target exceeds the threshold appears exactly once with all four fields populated; no request within the target appears.</x:t>
  </x:si>
  <x:si>
    <x:t xml:space="preserve">FR-025</x:t>
  </x:si>
  <x:si>
    <x:t xml:space="preserve">The system shall record an audit entry for every change of status, assignee and priority, capturing the actor, timestamp, previous value and new value.</x:t>
  </x:si>
  <x:si>
    <x:t xml:space="preserve">STK-04, STK-07</x:t>
  </x:si>
  <x:si>
    <x:t xml:space="preserve">For each of the three change types, performing the change creates exactly one audit entry containing all four fields, and the previous value matches the value held immediately before the change.</x:t>
  </x:si>
  <x:si>
    <x:t xml:space="preserve">FR-026</x:t>
  </x:si>
  <x:si>
    <x:t xml:space="preserve">The system shall not provide any application function that edits or deletes an audit entry.</x:t>
  </x:si>
  <x:si>
    <x:t xml:space="preserve">No interface or endpoint accepts an update or delete against an audit entry. Attempted modification through an exposed route is refused. Verified by review of the access matrix and by negative test.</x:t>
  </x:si>
  <x:si>
    <x:t xml:space="preserve">FR-027</x:t>
  </x:si>
  <x:si>
    <x:t xml:space="preserve">The system shall allow a Manager to add, rename and deactivate a category, and shall not permit deletion of a category that is referenced by any request.</x:t>
  </x:si>
  <x:si>
    <x:t xml:space="preserve">A deactivated category is unavailable for new submissions and remains displayed correctly on existing requests. An attempt to delete a referenced category is refused with an explanatory message.</x:t>
  </x:si>
  <x:si>
    <x:t xml:space="preserve">FR-028</x:t>
  </x:si>
  <x:si>
    <x:t xml:space="preserve">The system shall allow a Manager to deactivate a user account so that it can no longer authenticate, while preserving that user's historical records and audit entries.</x:t>
  </x:si>
  <x:si>
    <x:t xml:space="preserve">Could</x:t>
  </x:si>
  <x:si>
    <x:t xml:space="preserve">A deactivated account cannot authenticate. Requests, action entries and audit entries authored by that account remain visible and correctly attributed.</x:t>
  </x:si>
  <x:si>
    <x:t xml:space="preserve">FR-029</x:t>
  </x:si>
  <x:si>
    <x:t xml:space="preserve">The system shall present the Requester with an in-application indication when a request they submitted is accepted, updated, rejected or completed.</x:t>
  </x:si>
  <x:si>
    <x:t xml:space="preserve">Following each of the four events, an indication is available to the Requester on next sign-in that identifies the request by reference and the event that occurred.</x:t>
  </x:si>
  <x:si>
    <x:t xml:space="preserve">Non-functional requirements. Every target states a number and a measurement method, because a quality claim without evidence is not accepted (Master Brief s15, s23).</x:t>
  </x:si>
  <x:si>
    <x:t xml:space="preserve">Quality characteristic (ISO/IEC 25010:2023)</x:t>
  </x:si>
  <x:si>
    <x:t xml:space="preserve">Measurable target</x:t>
  </x:si>
  <x:si>
    <x:t xml:space="preserve">How it is measured</x:t>
  </x:si>
  <x:si>
    <x:t xml:space="preserve">NFR-001</x:t>
  </x:si>
  <x:si>
    <x:t xml:space="preserve">Performance efficiency</x:t>
  </x:si>
  <x:si>
    <x:t xml:space="preserve">Staff queue retrieval shall remain responsive at the baselined data volume.</x:t>
  </x:si>
  <x:si>
    <x:t xml:space="preserve">95th percentile response under 2.0 seconds for a queue of 5 000 requests returning the first page</x:t>
  </x:si>
  <x:si>
    <x:t xml:space="preserve">20 timed retrievals against a seeded 5 000-request dataset on the target environment; record the distribution, not the mean</x:t>
  </x:si>
  <x:si>
    <x:t xml:space="preserve">NFR-002</x:t>
  </x:si>
  <x:si>
    <x:t xml:space="preserve">Request submission shall confirm quickly enough that the Requester does not resubmit.</x:t>
  </x:si>
  <x:si>
    <x:t xml:space="preserve">95th percentile under 3.0 seconds from submit to acknowledgement</x:t>
  </x:si>
  <x:si>
    <x:t xml:space="preserve">20 timed submissions on the target environment under normal conditions</x:t>
  </x:si>
  <x:si>
    <x:t xml:space="preserve">NFR-003</x:t>
  </x:si>
  <x:si>
    <x:t xml:space="preserve">Reliability</x:t>
  </x:si>
  <x:si>
    <x:t xml:space="preserve">The service shall be available during published service hours.</x:t>
  </x:si>
  <x:si>
    <x:t xml:space="preserve">98 percent availability measured across published service hours (weekdays 07:00 to 17:00 SAST), assessed monthly</x:t>
  </x:si>
  <x:si>
    <x:t xml:space="preserve">External uptime probe at 5-minute intervals against a health endpoint; monthly report. The target is deliberately scoped to service hours because of CON-03; see the trade-off in s7.1 and RSK-02</x:t>
  </x:si>
  <x:si>
    <x:t xml:space="preserve">NFR-004</x:t>
  </x:si>
  <x:si>
    <x:t xml:space="preserve">Security</x:t>
  </x:si>
  <x:si>
    <x:t xml:space="preserve">Authentication secrets shall not be recoverable from stored data.</x:t>
  </x:si>
  <x:si>
    <x:t xml:space="preserve">Stored using a current, deliberately slow password hashing function with a per-user salt; no plaintext, reversible or unsalted storage anywhere</x:t>
  </x:si>
  <x:si>
    <x:t xml:space="preserve">Inspection of stored values in a test environment plus code review recorded on the Pull Request; supported by NIST (2022) practice PW.4</x:t>
  </x:si>
  <x:si>
    <x:t xml:space="preserve">NFR-005</x:t>
  </x:si>
  <x:si>
    <x:t xml:space="preserve">Authorisation shall be enforced on the server for every protected function.</x:t>
  </x:si>
  <x:si>
    <x:t xml:space="preserve">Zero successful accesses across the full negative-test matrix of role and function pairs</x:t>
  </x:si>
  <x:si>
    <x:t xml:space="preserve">Automated negative tests derived from the access matrix, executed directly against endpoints rather than through the interface; addresses OWASP A01:2025 (OWASP, 2025)</x:t>
  </x:si>
  <x:si>
    <x:t xml:space="preserve">NFR-006</x:t>
  </x:si>
  <x:si>
    <x:t xml:space="preserve">All traffic between client and service shall be encrypted in transit.</x:t>
  </x:si>
  <x:si>
    <x:t xml:space="preserve">100 percent of requests served over HTTPS; plain HTTP redirected; no mixed content</x:t>
  </x:si>
  <x:si>
    <x:t xml:space="preserve">Automated check of scheme and redirect behaviour in the deployment verification step</x:t>
  </x:si>
  <x:si>
    <x:t xml:space="preserve">NFR-007</x:t>
  </x:si>
  <x:si>
    <x:t xml:space="preserve">No credential, key or token shall be present in the repository or its history.</x:t>
  </x:si>
  <x:si>
    <x:t xml:space="preserve">Zero findings from secret scanning across the full commit history</x:t>
  </x:si>
  <x:si>
    <x:t xml:space="preserve">Automated secret scanning on every Pull Request plus a full-history scan before each baseline; addresses Master Brief s9</x:t>
  </x:si>
  <x:si>
    <x:t xml:space="preserve">NFR-008</x:t>
  </x:si>
  <x:si>
    <x:t xml:space="preserve">Personal information shall be limited to what the service requires and shall be accessible only to roles that need it.</x:t>
  </x:si>
  <x:si>
    <x:t xml:space="preserve">Only name, contact detail and request content are stored as personal information; every field is justified in the data inventory; access is governed by the FR-002 access matrix</x:t>
  </x:si>
  <x:si>
    <x:t xml:space="preserve">Data inventory reviewed at each baseline against the access matrix; POPIA s19 requires appropriate, reasonable technical and organisational measures (Republic of South Africa, 2013)</x:t>
  </x:si>
  <x:si>
    <x:t xml:space="preserve">NFR-009</x:t>
  </x:si>
  <x:si>
    <x:t xml:space="preserve">Interaction capability</x:t>
  </x:si>
  <x:si>
    <x:t xml:space="preserve">A first-time Requester shall be able to submit a request without training or assistance.</x:t>
  </x:si>
  <x:si>
    <x:t xml:space="preserve">At least 4 of 5 representative first-time users complete a submission unaided within 3 minutes</x:t>
  </x:si>
  <x:si>
    <x:t xml:space="preserve">Moderated task test with 5 participants who have not seen the system; record completion, time and observed errors</x:t>
  </x:si>
  <x:si>
    <x:t xml:space="preserve">NFR-010</x:t>
  </x:si>
  <x:si>
    <x:t xml:space="preserve">The interface shall be operable without a mouse and legible to users with low vision.</x:t>
  </x:si>
  <x:si>
    <x:t xml:space="preserve">All interactive controls reachable and operable by keyboard with a visible focus indicator; every form control programmatically labelled; body text contrast at least 4.5:1</x:t>
  </x:si>
  <x:si>
    <x:t xml:space="preserve">Keyboard traversal of each primary flow plus automated contrast and label checks, against the WCAG 2.2 Level AA criteria cited (W3C, 2023)</x:t>
  </x:si>
  <x:si>
    <x:t xml:space="preserve">NFR-011</x:t>
  </x:si>
  <x:si>
    <x:t xml:space="preserve">Functional suitability</x:t>
  </x:si>
  <x:si>
    <x:t xml:space="preserve">Every change to status, assignee or priority shall produce an audit record.</x:t>
  </x:si>
  <x:si>
    <x:t xml:space="preserve">100 percent of such changes produce exactly one complete audit entry; no orphaned or partial entries</x:t>
  </x:si>
  <x:si>
    <x:t xml:space="preserve">Automated test asserting audit entry creation for each change type, plus a reconciliation query comparing change counts to audit counts</x:t>
  </x:si>
  <x:si>
    <x:t xml:space="preserve">NFR-012</x:t>
  </x:si>
  <x:si>
    <x:t xml:space="preserve">Maintainability</x:t>
  </x:si>
  <x:si>
    <x:t xml:space="preserve">The team shall be able to change the system without silently breaking committed behaviour.</x:t>
  </x:si>
  <x:si>
    <x:t xml:space="preserve">Automated tests covering every Must-priority functional requirement pass on every Pull Request before merge is permitted</x:t>
  </x:si>
  <x:si>
    <x:t xml:space="preserve">Pull Request check status; the requirement-to-test mapping is held in the RTM. Which tooling provides this is an M2 and M3 decision, not an M1 commitment</x:t>
  </x:si>
  <x:si>
    <x:t xml:space="preserve">NFR-013</x:t>
  </x:si>
  <x:si>
    <x:t xml:space="preserve">Flexibility</x:t>
  </x:si>
  <x:si>
    <x:t xml:space="preserve">The service shall operate within the cost ceiling set by CON-03.</x:t>
  </x:si>
  <x:si>
    <x:t xml:space="preserve">Running cost of zero within free-tier limits for the assessed period, with documented limits and the projected cost beyond the educational context</x:t>
  </x:si>
  <x:si>
    <x:t xml:space="preserve">Platform limit documentation captured in the M2 decision record plus a recorded cost review before production release; unsupported claims that a platform is free are not acceptable (Master Brief, s23)</x:t>
  </x:si>
  <x:si>
    <x:t xml:space="preserve">Constraints and their consequences. The interaction between CON-02, CON-03 and NFR-003 is worked through in PED v1.0 s7.1.</x:t>
  </x:si>
  <x:si>
    <x:t xml:space="preserve">Constraint</x:t>
  </x:si>
  <x:si>
    <x:t xml:space="preserve">Engineering implication</x:t>
  </x:si>
  <x:si>
    <x:t xml:space="preserve">CON-01</x:t>
  </x:si>
  <x:si>
    <x:t xml:space="preserve">Scope</x:t>
  </x:si>
  <x:si>
    <x:t xml:space="preserve">The minimum business capabilities in Master Brief s3 are non-negotiable. Committed scope is baselined at PED v1.0 and may change only through the change control in Master Brief s14.</x:t>
  </x:si>
  <x:si>
    <x:t xml:space="preserve">Fixes the floor of the requirement set. Any addition must be paid for from schedule, and the team has no schedule reserve, so additions displace other committed work rather than extending the deadline.</x:t>
  </x:si>
  <x:si>
    <x:t xml:space="preserve">CON-02</x:t>
  </x:si>
  <x:si>
    <x:t xml:space="preserve">Schedule</x:t>
  </x:si>
  <x:si>
    <x:t xml:space="preserve">Four assessed milestones within the SEN381 delivery period. The team works on CivicConnect alongside other modules, so available engineering time is bounded and uneven across the term.</x:t>
  </x:si>
  <x:si>
    <x:t xml:space="preserve">The binding constraint on scope. It is the reason SC-D-01 to SC-D-06 are deferred rather than attempted, and the reason quality gates are defined now: under schedule pressure, testing and security are the first things silently dropped (Master Brief, s18).</x:t>
  </x:si>
  <x:si>
    <x:t xml:space="preserve">CON-03</x:t>
  </x:si>
  <x:si>
    <x:t xml:space="preserve">Cost and resources</x:t>
  </x:si>
  <x:si>
    <x:t xml:space="preserve">Free or low-cost services are preferred. Limitations and likely operational cost beyond the educational context must be identified (Master Brief, s4). Three students; no budget for paid tiers or paid tooling.</x:t>
  </x:si>
  <x:si>
    <x:t xml:space="preserve">Directly limits the availability target in NFR-003 and the feasibility of SC-D-01. See the worked trade-off in s7.1.</x:t>
  </x:si>
  <x:si>
    <x:t xml:space="preserve">CON-04</x:t>
  </x:si>
  <x:si>
    <x:t xml:space="preserve">Quality</x:t>
  </x:si>
  <x:si>
    <x:t xml:space="preserve">Quality attributes must be measurable and supported by evidence, not asserted (Master Brief, s4 and s15).</x:t>
  </x:si>
  <x:si>
    <x:t xml:space="preserve">Every NFR in s6.3 carries a stated measurement method. An attribute the team cannot measure within the constraints was either made measurable or removed.</x:t>
  </x:si>
  <x:si>
    <x:t xml:space="preserve">CON-05</x:t>
  </x:si>
  <x:si>
    <x:t xml:space="preserve">Security is a lifecycle-wide responsibility (Master Brief, s16). The system holds personal information, which engages POPIA s19 (Republic of South Africa, 2013).</x:t>
  </x:si>
  <x:si>
    <x:t xml:space="preserve">Constrains the data model (FEC-01), test data (FEC-04) and the deferral of attachments (s6.4). Security requirements appear in the baseline as NFR-004 to NFR-008, not as a later hardening task.</x:t>
  </x:si>
  <x:si>
    <x:t xml:space="preserve">CON-06</x:t>
  </x:si>
  <x:si>
    <x:t xml:space="preserve">Team capability</x:t>
  </x:si>
  <x:si>
    <x:t xml:space="preserve">Three students with prior exposure to programming, databases and web development, and limited exposure to controlled team engineering at this scale. Capability is stated honestly here because it is a real input to the M2 technology decision (Master Brief, s18.1).</x:t>
  </x:si>
  <x:si>
    <x:t xml:space="preserve">Bounds which architectures and stacks are realistically buildable and supportable. An unfamiliar stack converts schedule into learning time. See RSK-01.</x:t>
  </x:si>
  <x:si>
    <x:t xml:space="preserve">CON-07</x:t>
  </x:si>
  <x:si>
    <x:t xml:space="preserve">Platform availability</x:t>
  </x:si>
  <x:si>
    <x:t xml:space="preserve">Belgium Campus cannot guarantee that a chosen language, framework, service or deployment platform is installed, available or supported on the BC Desktop platform (Master Brief, s25).</x:t>
  </x:si>
  <x:si>
    <x:t xml:space="preserve">Makes environment availability a precondition of the M2 technology decision rather than a discovery during construction. Recorded as RSK-02 and as a criterion in DEC-008.</x:t>
  </x:si>
  <x:si>
    <x:t xml:space="preserve">CON-08</x:t>
  </x:si>
  <x:si>
    <x:t xml:space="preserve">Process and governance</x:t>
  </x:si>
  <x:si>
    <x:t xml:space="preserve">Protected main, Pull Requests for substantive change and a minimum of two approvals from members other than the author (Master Brief, s9).</x:t>
  </x:si>
  <x:si>
    <x:t xml:space="preserve">With three members this means every merge needs both other members. It is a quality control and a throughput constraint at the same time. See RSK-04 and FEC-07.</x:t>
  </x:si>
  <x:si>
    <x:t xml:space="preserve">RTM ID</x:t>
  </x:si>
  <x:si>
    <x:t xml:space="preserve">Source (stakeholder / brief)</x:t>
  </x:si>
  <x:si>
    <x:t xml:space="preserve">Req ID</x:t>
  </x:si>
  <x:si>
    <x:t xml:space="preserve">Requirement summary</x:t>
  </x:si>
  <x:si>
    <x:t xml:space="preserve">TR-001</x:t>
  </x:si>
  <x:si>
    <x:t xml:space="preserve">The system shall require a registered user to authenticate with a unique identifier and secret before any service requ...</x:t>
  </x:si>
  <x:si>
    <x:t xml:space="preserve">See requirements register</x:t>
  </x:si>
  <x:si>
    <x:t xml:space="preserve">TR-002</x:t>
  </x:si>
  <x:si>
    <x:t xml:space="preserve">The system shall enforce role-based access control for the roles Requester, Staff, Coordinator and Manager, with every...</x:t>
  </x:si>
  <x:si>
    <x:t xml:space="preserve">TR-003</x:t>
  </x:si>
  <x:si>
    <x:t xml:space="preserve">TR-004</x:t>
  </x:si>
  <x:si>
    <x:t xml:space="preserve">The system shall allow a user to reset a forgotten credential through a controlled process that does not disclose whet...</x:t>
  </x:si>
  <x:si>
    <x:t xml:space="preserve">TR-005</x:t>
  </x:si>
  <x:si>
    <x:t xml:space="preserve">The system shall allow a Requester to submit a service request capturing title, description, category, location and re...</x:t>
  </x:si>
  <x:si>
    <x:t xml:space="preserve">TR-006</x:t>
  </x:si>
  <x:si>
    <x:t xml:space="preserve">The system shall require the request category to be selected from a controlled list maintained by a Manager, and shall...</x:t>
  </x:si>
  <x:si>
    <x:t xml:space="preserve">TR-007</x:t>
  </x:si>
  <x:si>
    <x:t xml:space="preserve">The system shall validate mandatory fields and field formats before accepting a submission, and shall report each fail...</x:t>
  </x:si>
  <x:si>
    <x:t xml:space="preserve">TR-008</x:t>
  </x:si>
  <x:si>
    <x:t xml:space="preserve">TR-009</x:t>
  </x:si>
  <x:si>
    <x:t xml:space="preserve">The system shall present the Requester with an in-application acknowledgement on successful submission, showing the re...</x:t>
  </x:si>
  <x:si>
    <x:t xml:space="preserve">TR-010</x:t>
  </x:si>
  <x:si>
    <x:t xml:space="preserve">The system shall allow a Requester to view a list of their own requests showing reference, title, category, current st...</x:t>
  </x:si>
  <x:si>
    <x:t xml:space="preserve">TR-011</x:t>
  </x:si>
  <x:si>
    <x:t xml:space="preserve">The system shall allow a Requester to view the full detail and status history of their own request, showing only entri...</x:t>
  </x:si>
  <x:si>
    <x:t xml:space="preserve">TR-012</x:t>
  </x:si>
  <x:si>
    <x:t xml:space="preserve">TR-013</x:t>
  </x:si>
  <x:si>
    <x:t xml:space="preserve">TR-014</x:t>
  </x:si>
  <x:si>
    <x:t xml:space="preserve">The system shall allow the queue to be searched by reference and by keyword, filtered by status, category, assignee an...</x:t>
  </x:si>
  <x:si>
    <x:t xml:space="preserve">TR-015</x:t>
  </x:si>
  <x:si>
    <x:t xml:space="preserve">The system shall allow a Coordinator to assign a request to a Staff member, and a Staff member to accept an unassigned...</x:t>
  </x:si>
  <x:si>
    <x:t xml:space="preserve">TR-016</x:t>
  </x:si>
  <x:si>
    <x:t xml:space="preserve">The system shall permit a status change only where the transition is allowed by the request status model (PED Figure 2...</x:t>
  </x:si>
  <x:si>
    <x:t xml:space="preserve">TR-017</x:t>
  </x:si>
  <x:si>
    <x:t xml:space="preserve">The system shall allow Staff and Coordinators to record a dated action entry against a request, marked either internal...</x:t>
  </x:si>
  <x:si>
    <x:t xml:space="preserve">TR-018</x:t>
  </x:si>
  <x:si>
    <x:t xml:space="preserve">TR-019</x:t>
  </x:si>
  <x:si>
    <x:t xml:space="preserve">TR-020</x:t>
  </x:si>
  <x:si>
    <x:t xml:space="preserve">TR-021</x:t>
  </x:si>
  <x:si>
    <x:t xml:space="preserve">The system shall record the Requester's reported urgency as a separate attribute from the priority, and shall allow on...</x:t>
  </x:si>
  <x:si>
    <x:t xml:space="preserve">TR-022</x:t>
  </x:si>
  <x:si>
    <x:t xml:space="preserve">TR-023</x:t>
  </x:si>
  <x:si>
    <x:t xml:space="preserve">TR-024</x:t>
  </x:si>
  <x:si>
    <x:t xml:space="preserve">TR-025</x:t>
  </x:si>
  <x:si>
    <x:t xml:space="preserve">The system shall record an audit entry for every change of status, assignee and priority, capturing the actor, timesta...</x:t>
  </x:si>
  <x:si>
    <x:t xml:space="preserve">TR-026</x:t>
  </x:si>
  <x:si>
    <x:t xml:space="preserve">TR-027</x:t>
  </x:si>
  <x:si>
    <x:t xml:space="preserve">The system shall allow a Manager to add, rename and deactivate a category, and shall not permit deletion of a category...</x:t>
  </x:si>
  <x:si>
    <x:t xml:space="preserve">TR-028</x:t>
  </x:si>
  <x:si>
    <x:t xml:space="preserve">The system shall allow a Manager to deactivate a user account so that it can no longer authenticate, while preserving ...</x:t>
  </x:si>
  <x:si>
    <x:t xml:space="preserve">TR-029</x:t>
  </x:si>
  <x:si>
    <x:t xml:space="preserve">The system shall present the Requester with an in-application indication when a request they submitted is accepted, up...</x:t>
  </x:si>
  <x:si>
    <x:t xml:space="preserve">TR-030</x:t>
  </x:si>
  <x:si>
    <x:t xml:space="preserve">TR-031</x:t>
  </x:si>
  <x:si>
    <x:t xml:space="preserve">TR-032</x:t>
  </x:si>
  <x:si>
    <x:t xml:space="preserve">TR-033</x:t>
  </x:si>
  <x:si>
    <x:t xml:space="preserve">TR-034</x:t>
  </x:si>
  <x:si>
    <x:t xml:space="preserve">TR-035</x:t>
  </x:si>
  <x:si>
    <x:t xml:space="preserve">TR-036</x:t>
  </x:si>
  <x:si>
    <x:t xml:space="preserve">TR-037</x:t>
  </x:si>
  <x:si>
    <x:t xml:space="preserve">TR-038</x:t>
  </x:si>
  <x:si>
    <x:t xml:space="preserve">TR-039</x:t>
  </x:si>
  <x:si>
    <x:t xml:space="preserve">TR-040</x:t>
  </x:si>
  <x:si>
    <x:t xml:space="preserve">TR-041</x:t>
  </x:si>
  <x:si>
    <x:t xml:space="preserve">TR-042</x:t>
  </x:si>
  <x:si>
    <x:t xml:space="preserve">Live risk register, reviewed at every milestone (Master Brief s12). Exposure and Priority are formulas: change Probability or Impact and they recalculate.</x:t>
  </x:si>
  <x:si>
    <x:t xml:space="preserve">Risk ID</x:t>
  </x:si>
  <x:si>
    <x:t xml:space="preserve">Description</x:t>
  </x:si>
  <x:si>
    <x:t xml:space="preserve">Cause</x:t>
  </x:si>
  <x:si>
    <x:t xml:space="preserve">Probability (1-5)</x:t>
  </x:si>
  <x:si>
    <x:t xml:space="preserve">Impact (1-5)</x:t>
  </x:si>
  <x:si>
    <x:t xml:space="preserve">Exposure</x:t>
  </x:si>
  <x:si>
    <x:t xml:space="preserve">Mitigation</x:t>
  </x:si>
  <x:si>
    <x:t xml:space="preserve">Contingency</x:t>
  </x:si>
  <x:si>
    <x:t xml:space="preserve">Links</x:t>
  </x:si>
  <x:si>
    <x:t xml:space="preserve">RSK-01</x:t>
  </x:si>
  <x:si>
    <x:t xml:space="preserve">The team does not reach working competence in the selected stack early enough to build the committed scope, and construction time is consumed by learning.</x:t>
  </x:si>
  <x:si>
    <x:t xml:space="preserve">Technology selection is deferred to M2 (DEC-008) and the team has limited prior exposure to controlled team engineering at this scale (CON-06).</x:t>
  </x:si>
  <x:si>
    <x:t xml:space="preserve">Make team capability an explicitly weighted criterion in the M2 technology decision. Run a timeboxed proof of concept covering authentication, one persisted entity and one automated test before committing. Prefer a stack in which at least two of three members have prior exposure.</x:t>
  </x:si>
  <x:si>
    <x:t xml:space="preserve">Reduce committed scope to Must-priority requirements only, through a controlled change request, and record the trade-off rather than absorbing it silently.</x:t>
  </x:si>
  <x:si>
    <x:t xml:space="preserve">Tristan Roets</x:t>
  </x:si>
  <x:si>
    <x:t xml:space="preserve">DEC-008, CON-06, FEC-07</x:t>
  </x:si>
  <x:si>
    <x:t xml:space="preserve">RSK-02</x:t>
  </x:si>
  <x:si>
    <x:t xml:space="preserve">The chosen platform's free tier proves unable to meet the availability or background-processing needs, or its terms change during the project.</x:t>
  </x:si>
  <x:si>
    <x:t xml:space="preserve">Cost constraint CON-03 pushes the team to free tiers, whose idle behaviour, quotas and continuity are outside the team's control. Institutional platform support is not guaranteed (CON-07).</x:t>
  </x:si>
  <x:si>
    <x:t xml:space="preserve">Record platform limits as explicit criteria in DEC-010 before committing. Verify cold-start and idle behaviour against NFR-003 during M2. Keep the deployment target portable by avoiding platform-specific services in the baseline.</x:t>
  </x:si>
  <x:si>
    <x:t xml:space="preserve">Fall back to a second shortlisted platform identified in M2; if unavailable, revise NFR-003 through change control and record the residual risk rather than restating the target.</x:t>
  </x:si>
  <x:si>
    <x:t xml:space="preserve">Open</x:t>
  </x:si>
  <x:si>
    <x:t xml:space="preserve">CON-03, CON-07, NFR-003, NFR-013, FEC-05</x:t>
  </x:si>
  <x:si>
    <x:t xml:space="preserve">RSK-03</x:t>
  </x:si>
  <x:si>
    <x:t xml:space="preserve">The formal client change request scheduled for M3 arrives against an unchanged deadline and destabilises the baseline.</x:t>
  </x:si>
  <x:si>
    <x:t xml:space="preserve">Master Brief s20.3 states that M3 includes a formal lecturer or client change request and impact analysis. This is a certainty, not a possibility.</x:t>
  </x:si>
  <x:si>
    <x:t xml:space="preserve">Treat the change as planned work. Keep the RTM complete so impact analysis is a lookup rather than an investigation. Hold the Appendix E impact template ready. Keep Should and Could priority items as the intended absorption buffer so that a change displaces deferred work rather than Must-priority work.</x:t>
  </x:si>
  <x:si>
    <x:t xml:space="preserve">Apply the change control process in Master Brief s14, record scope displacement explicitly, and seek approval for the resulting scope change rather than compressing verification.</x:t>
  </x:si>
  <x:si>
    <x:t xml:space="preserve">Darius Mushi</x:t>
  </x:si>
  <x:si>
    <x:t xml:space="preserve">CON-01, CON-02, RTM</x:t>
  </x:si>
  <x:si>
    <x:t xml:space="preserve">RSK-04</x:t>
  </x:si>
  <x:si>
    <x:t xml:space="preserve">Controlled change stalls because the mandatory two-approval rule cannot be satisfied when a member is unavailable.</x:t>
  </x:si>
  <x:si>
    <x:t xml:space="preserve">CON-08 requires two approvals from members other than the author. With exactly three members, every merge requires both remaining members, so one absence blocks all controlled change.</x:t>
  </x:si>
  <x:si>
    <x:t xml:space="preserve">Agree a 24-hour review turnaround in the Team Working Agreement. Keep Pull Requests small and single-purpose so review is quick. Schedule two fixed review windows per week that all three members hold open.</x:t>
  </x:si>
  <x:si>
    <x:t xml:space="preserve">Where an absence is known in advance, front-load merges before it. Where it is unplanned, record the blockage and its schedule effect rather than bypassing the control or rubber-stamping, which may receive no credit (Master Brief, s9).</x:t>
  </x:si>
  <x:si>
    <x:t xml:space="preserve">Jean Smit</x:t>
  </x:si>
  <x:si>
    <x:t xml:space="preserve">Materialised - active (review delay recorded 9 September 2026)</x:t>
  </x:si>
  <x:si>
    <x:t xml:space="preserve">CON-08, FEC-07, #11, PR #18, PR #19, PR #31</x:t>
  </x:si>
  <x:si>
    <x:t xml:space="preserve">RSK-05</x:t>
  </x:si>
  <x:si>
    <x:t xml:space="preserve">Personal information held in service requests is disclosed to a user who is not entitled to see it.</x:t>
  </x:si>
  <x:si>
    <x:t xml:space="preserve">Requests contain requester identity, contact detail and free-text description that may include sensitive circumstances. Record-level isolation (FR-012) and internal note separation (FR-011) are data-model properties, not interface behaviour.</x:t>
  </x:si>
  <x:si>
    <x:t xml:space="preserve">Enforce authorisation server-side for every function (NFR-005). Derive negative tests directly from the access matrix. Treat record-level scope as an M2 data design input (FEC-01). Minimise stored personal information (NFR-008).</x:t>
  </x:si>
  <x:si>
    <x:t xml:space="preserve">Contain by revoking the affected access, record the incident, assess notification obligations under POPIA, and raise a defect with the highest severity.</x:t>
  </x:si>
  <x:si>
    <x:t xml:space="preserve">RSK-06</x:t>
  </x:si>
  <x:si>
    <x:t xml:space="preserve">Committed scope grows without control and the team delivers a larger unfinished system instead of a smaller complete one.</x:t>
  </x:si>
  <x:si>
    <x:t xml:space="preserve">Additional features are permitted where justified (Master Brief, s3.1), and the visible reward for adding a feature is more immediate than the cost of specifying, securing, testing, documenting and maintaining it.</x:t>
  </x:si>
  <x:si>
    <x:t xml:space="preserve">Baseline scope at PED v1.0 with an explicit deferred list (s6.3) so that a new idea has a recorded home other than the current sprint. Require any addition to enter through change control with an impact analysis.</x:t>
  </x:si>
  <x:si>
    <x:t xml:space="preserve">Where uncontrolled work is discovered, stop it, assess it through Appendix E, and either approve it with an explicit displacement or return it to the deferred list.</x:t>
  </x:si>
  <x:si>
    <x:t xml:space="preserve">CON-01, SC-D-01 to SC-D-06</x:t>
  </x:si>
  <x:si>
    <x:t xml:space="preserve">RSK-07</x:t>
  </x:si>
  <x:si>
    <x:t xml:space="preserve">A registered member becomes unavailable and the team loses both delivery capacity and that member's contribution evidence.</x:t>
  </x:si>
  <x:si>
    <x:t xml:space="preserve">Illness or other exceptional circumstance, against a fixed milestone calendar and an individually assessed presentation requirement (Master Brief, s25).</x:t>
  </x:si>
  <x:si>
    <x:t xml:space="preserve">Rotate authorship so that no artefact has a single owner. Require all three members to review across the whole artefact set, not only their own area. Keep the PED and registers current so any member can present any artefact.</x:t>
  </x:si>
  <x:si>
    <x:t xml:space="preserve">Follow the institutional process for an approved later presentation date. Redistribute committed work through the change process and record the schedule effect.</x:t>
  </x:si>
  <x:si>
    <x:t xml:space="preserve">Materialised - active (member availability affected M1 review capacity on 9 September 2026)</x:t>
  </x:si>
  <x:si>
    <x:t xml:space="preserve">CON-02, CON-06, CON-08, FEC-07, #11</x:t>
  </x:si>
  <x:si>
    <x:t xml:space="preserve">RSK-08</x:t>
  </x:si>
  <x:si>
    <x:t xml:space="preserve">Repository history does not show authentic progressive engineering, and controlled evidence is discounted despite the software working.</x:t>
  </x:si>
  <x:si>
    <x:t xml:space="preserve">Documentation work feels separable from the repository, so artefacts accumulate locally and are pushed in bulk near a deadline. Master Brief s23 states that reconstructed evidence may receive limited or no credit.</x:t>
  </x:si>
  <x:si>
    <x:t xml:space="preserve">Place the PED and every register in the repository from the first week of M1 and change them through Pull Requests like code. Link commits to issues. Review the commit and Pull Request history as a team at each weekly checkpoint.</x:t>
  </x:si>
  <x:si>
    <x:t xml:space="preserve">None available after the fact. This risk cannot be mitigated retrospectively, which is why its mitigation is entirely preventive.</x:t>
  </x:si>
  <x:si>
    <x:t xml:space="preserve">CON-08, Master Brief s3.1 (M1)</x:t>
  </x:si>
  <x:si>
    <x:t xml:space="preserve">RSK-09</x:t>
  </x:si>
  <x:si>
    <x:t xml:space="preserve">The request status model proves ambiguous or incomplete after data exists, and management reporting becomes unreliable.</x:t>
  </x:si>
  <x:si>
    <x:t xml:space="preserve">Reporting in FR-022 to FR-024 derives entirely from status and timestamps. A state added or redefined after go-live cannot be applied retrospectively to historical records.</x:t>
  </x:si>
  <x:si>
    <x:t xml:space="preserve">Agree and baseline the status model now (Figure 2) with every transition and its authorised role enumerated. Define overdue against a single organisation-wide target (SC-D-03). Test every non-permitted transition as well as every permitted one (FR-016).</x:t>
  </x:si>
  <x:si>
    <x:t xml:space="preserve">Treat a model change as a controlled change with an explicit data-migration and reporting-continuity analysis under Appendix E.</x:t>
  </x:si>
  <x:si>
    <x:t xml:space="preserve">FR-016, FR-022, FEC-02</x:t>
  </x:si>
  <x:si>
    <x:t xml:space="preserve">RSK-10</x:t>
  </x:si>
  <x:si>
    <x:t xml:space="preserve">Real personal information is copied into a development, test or staging environment.</x:t>
  </x:si>
  <x:si>
    <x:t xml:space="preserve">Realistic data is convenient for testing reporting and queue behaviour, and staging is intended to resemble production (Master Brief, s17).</x:t>
  </x:si>
  <x:si>
    <x:t xml:space="preserve">Commit now to generated test data only. Build the seeding approach as a project artefact in M2 so the convenient path and the correct path are the same one (FEC-04).</x:t>
  </x:si>
  <x:si>
    <x:t xml:space="preserve">Purge the affected environment, rotate any exposed credential, and record the event and its POPIA implications.</x:t>
  </x:si>
  <x:si>
    <x:t xml:space="preserve">CON-05, NFR-008, FEC-04</x:t>
  </x:si>
  <x:si>
    <x:t xml:space="preserve">RSK-11</x:t>
  </x:si>
  <x:si>
    <x:t xml:space="preserve">A credential, key or token is committed to the repository.</x:t>
  </x:si>
  <x:si>
    <x:t xml:space="preserve">Configuration is needed to run locally, and the fastest way to share it between three developers is to commit it.</x:t>
  </x:si>
  <x:si>
    <x:t xml:space="preserve">Agree the configuration and secrets approach in the Team Working Agreement before construction. Add ignore rules and secret scanning to the repository at setup, not at M3 (NFR-007).</x:t>
  </x:si>
  <x:si>
    <x:t xml:space="preserve">Treat the secret as compromised: rotate it, and record that history rewriting does not undo exposure.</x:t>
  </x:si>
  <x:si>
    <x:t xml:space="preserve">NFR-007, CON-05, CON-08</x:t>
  </x:si>
  <x:si>
    <x:t xml:space="preserve">RSK-12</x:t>
  </x:si>
  <x:si>
    <x:t xml:space="preserve">A third-party dependency introduces a vulnerability or malicious code into the build.</x:t>
  </x:si>
  <x:si>
    <x:t xml:space="preserve">The baseline will rest on an ecosystem of transitive dependencies chosen in M2. OWASP raised software supply chain failures to A03 in 2025 (OWASP, 2025), and Sonatype recorded over 454 600 new malicious open-source packages during 2025 (Sonatype, 2026).</x:t>
  </x:si>
  <x:si>
    <x:t xml:space="preserve">Remove or replace the affected component, assess exposure, and record the residual risk rather than claiming the system is clean.</x:t>
  </x:si>
  <x:si>
    <x:t xml:space="preserve">RSK-13</x:t>
  </x:si>
  <x:si>
    <x:t xml:space="preserve">The system behaves correctly in development but fails in staging or production because the environments differ.</x:t>
  </x:si>
  <x:si>
    <x:t xml:space="preserve">Environment parity is not free, and free-tier hosting differs from a developer machine in runtime version, filesystem persistence, cold starts and network egress (Master Brief, s17).</x:t>
  </x:si>
  <x:si>
    <x:t xml:space="preserve">Record parity as a forward consideration now (FEC-05) so it becomes an explicit M2 platform criterion. Keep environment-specific values in configuration rather than code from the first commit.</x:t>
  </x:si>
  <x:si>
    <x:t xml:space="preserve">Roll back to the previous release, reproduce the difference in staging, and record the parity gap as a known limitation.</x:t>
  </x:si>
  <x:si>
    <x:t xml:space="preserve">CON-07, FEC-05, NFR-003</x:t>
  </x:si>
  <x:si>
    <x:t xml:space="preserve">RSK-14</x:t>
  </x:si>
  <x:si>
    <x:t xml:space="preserve">AI-assisted output is accepted into a controlled artefact without adequate verification, producing a defect or an artefact no member can defend.</x:t>
  </x:si>
  <x:si>
    <x:t xml:space="preserve">AI is permitted throughout the project (Master Brief, s10), and reviewing generated work is slower and less rewarding than accepting it. The statement that AI generated it is never an acceptable engineering defence.</x:t>
  </x:si>
  <x:si>
    <x:t xml:space="preserve">Record material AI contributions in the AI Usage Register at the time, not retrospectively. Apply the rule that no member may approve AI-assisted work they cannot explain without the assistant. Subject AI-generated work to the same branch, review and test controls as any other change.</x:t>
  </x:si>
  <x:si>
    <x:t xml:space="preserve">Revert the artefact to its last verified state and re-derive it. Where an artefact cannot be explained by any member, remove it from the baseline.</x:t>
  </x:si>
  <x:si>
    <x:t xml:space="preserve">Master Brief s10, AI Usage Register</x:t>
  </x:si>
  <x:si>
    <x:t xml:space="preserve">RSK-15</x:t>
  </x:si>
  <x:si>
    <x:t xml:space="preserve">A controlled engineering artefact cannot be safely reproduced or corrected because only the rendered output is retained.</x:t>
  </x:si>
  <x:si>
    <x:t xml:space="preserve">Generated diagrams or similar artefacts are committed without their editable source or generation script.</x:t>
  </x:si>
  <x:si>
    <x:t xml:space="preserve">Commit editable source or generation scripts alongside generated artefacts, and regenerate and compare outputs against the authoritative register.</x:t>
  </x:si>
  <x:si>
    <x:t xml:space="preserve">Record the limitation, reconstruct the source, and independently verify the replacement against the controlled evidence before accepting it.</x:t>
  </x:si>
  <x:si>
    <x:t xml:space="preserve">Materialised - Figure 2, issue #27</x:t>
  </x:si>
  <x:si>
    <x:t xml:space="preserve">#27, PED s16.1, Status Model sheet, Figure 2, #36</x:t>
  </x:si>
  <x:si>
    <x:t xml:space="preserve">Forward Engineering Considerations (M1 brief s4). These are recorded, not decided. Positioned across the lifecycle in PED v1.0 Figure 1.</x:t>
  </x:si>
  <x:si>
    <x:t xml:space="preserve">Concern</x:t>
  </x:si>
  <x:si>
    <x:t xml:space="preserve">Why it matters now</x:t>
  </x:si>
  <x:si>
    <x:t xml:space="preserve">Later decision or activity influenced</x:t>
  </x:si>
  <x:si>
    <x:t xml:space="preserve">Information still missing</x:t>
  </x:si>
  <x:si>
    <x:t xml:space="preserve">Risk of ignoring it</x:t>
  </x:si>
  <x:si>
    <x:t xml:space="preserve">FEC-01</x:t>
  </x:si>
  <x:si>
    <x:t xml:space="preserve">Authorisation depth and record-level data scope</x:t>
  </x:si>
  <x:si>
    <x:t xml:space="preserve">The baseline already commits to per-Requester record isolation (FR-012), category-scoped Staff queues (FR-013) and internal versus requester-visible entries (FR-011). Each of these is a property of how data is shaped and queried, not a screen behaviour.</x:t>
  </x:si>
  <x:si>
    <x:t xml:space="preserve">M2 data and architecture design; the M3 negative-test matrix derived from the access matrix.</x:t>
  </x:si>
  <x:si>
    <x:t xml:space="preserve">Record-level authorisation added after the data model is fixed touches every query and every test, and tends to be implemented in the interface layer where it can be bypassed.</x:t>
  </x:si>
  <x:si>
    <x:t xml:space="preserve">FR-011, FR-012, FR-013, NFR-005, RSK-05, SC-D-05, DEC-009, DEC-011</x:t>
  </x:si>
  <x:si>
    <x:t xml:space="preserve">FEC-02</x:t>
  </x:si>
  <x:si>
    <x:t xml:space="preserve">Request status model stability and the definition of overdue</x:t>
  </x:si>
  <x:si>
    <x:t xml:space="preserve">Every management figure in FR-022 to FR-024 is derived from status and timestamps. The model is being baselined now (Figure 2) precisely because it cannot be revised cheaply once requests exist.</x:t>
  </x:si>
  <x:si>
    <x:t xml:space="preserve">M2 persistence design and reporting approach; M3 transition testing; M4 evaluation of whether reporting is trustworthy.</x:t>
  </x:si>
  <x:si>
    <x:t xml:space="preserve">A state added or redefined after go-live cannot be applied to historical records, so the reporting the platform exists to provide becomes unreliable at exactly the point it is first used.</x:t>
  </x:si>
  <x:si>
    <x:t xml:space="preserve">FR-016, FR-022, FR-024, RSK-09, SC-D-03</x:t>
  </x:si>
  <x:si>
    <x:t xml:space="preserve">FEC-03</x:t>
  </x:si>
  <x:si>
    <x:t xml:space="preserve">Background processing capability of the deployment platform</x:t>
  </x:si>
  <x:si>
    <x:t xml:space="preserve">Notification beyond the in-application indication is deferred (SC-D-01), but reinstating it needs a scheduled job or always-on worker. Free tiers frequently restrict exactly that, so the M2 platform choice can close the option permanently without anyone noticing.</x:t>
  </x:si>
  <x:si>
    <x:t xml:space="preserve">M2 deployment platform decision (DEC-010); any future change request that reintroduces email or SMS notification.</x:t>
  </x:si>
  <x:si>
    <x:t xml:space="preserve">Choosing a platform on cost and interface alone can make a deferred requirement unimplementable, converting a reversible deferral into an irreversible exclusion.</x:t>
  </x:si>
  <x:si>
    <x:t xml:space="preserve">SC-D-01, DEC-005, DEC-010, CON-03, RSK-02</x:t>
  </x:si>
  <x:si>
    <x:t xml:space="preserve">FEC-04</x:t>
  </x:si>
  <x:si>
    <x:t xml:space="preserve">Test data and personal information in non-production environments</x:t>
  </x:si>
  <x:si>
    <x:t xml:space="preserve">Staging is meant to resemble production (Master Brief, s17), while NFR-008 and POPIA constrain where personal information may exist. These two pull in opposite directions and the tension appears the first time anyone needs realistic data.</x:t>
  </x:si>
  <x:si>
    <x:t xml:space="preserve">M3 test strategy and staging deployment; the seeding approach used for the NFR-001 performance measurement at 5 000 records.</x:t>
  </x:si>
  <x:si>
    <x:t xml:space="preserve">Realistic data is usually obtained by copying production. Deciding this after staging exists means the convenient path has already been taken.</x:t>
  </x:si>
  <x:si>
    <x:t xml:space="preserve">NFR-001, NFR-008, CON-05, RSK-10</x:t>
  </x:si>
  <x:si>
    <x:t xml:space="preserve">FEC-05</x:t>
  </x:si>
  <x:si>
    <x:t xml:space="preserve">Environment parity, release control and rollback</x:t>
  </x:si>
  <x:si>
    <x:t xml:space="preserve">NFR-003 states an availability target and the team has not yet chosen where the system will run. Whether a release can be verified before users see it, and reversed afterwards, is decided by the platform and the release path, not by the application code.</x:t>
  </x:si>
  <x:si>
    <x:t xml:space="preserve">M2 platform decision; M3 staging deployment and production-readiness review; M4 production release and operational evidence.</x:t>
  </x:si>
  <x:si>
    <x:t xml:space="preserve">Discovering in M3 or M4 that staging cannot resemble production, or that a release cannot be reversed, leaves no time to change platform.</x:t>
  </x:si>
  <x:si>
    <x:t xml:space="preserve">NFR-003, NFR-013, DEC-010, RSK-02, RSK-13</x:t>
  </x:si>
  <x:si>
    <x:t xml:space="preserve">FEC-06</x:t>
  </x:si>
  <x:si>
    <x:t xml:space="preserve">Reporting load against the transactional data as volume grows</x:t>
  </x:si>
  <x:si>
    <x:t xml:space="preserve">NFR-001 is stated at 5 000 requests and the management view in FR-022 aggregates across the same records the Staff queue reads. The interaction between the two only appears at volume.</x:t>
  </x:si>
  <x:si>
    <x:t xml:space="preserve">M2 persistence and indexing design; whether reporting reads the transactional store directly; M3 performance evidence.</x:t>
  </x:si>
  <x:si>
    <x:t xml:space="preserve">Aggregate reporting queries running against the same store can degrade the Staff queue, so the feature that provides oversight damages the feature that does the work.</x:t>
  </x:si>
  <x:si>
    <x:t xml:space="preserve">NFR-001, FR-022, FR-023, RSK-12, DEC-009, DEC-011</x:t>
  </x:si>
  <x:si>
    <x:t xml:space="preserve">FEC-07</x:t>
  </x:si>
  <x:si>
    <x:t xml:space="preserve">Review capacity under the mandatory two-approval control</x:t>
  </x:si>
  <x:si>
    <x:t xml:space="preserve">CON-08 requires two approvals from members other than the author. With three members this is a throughput constraint on every controlled change from M2 onward, and it is being agreed now in the Team Working Agreement rather than discovered at a deadline.</x:t>
  </x:si>
  <x:si>
    <x:t xml:space="preserve">All controlled change in M2, M3 and M4; the authenticity of the review evidence the project is assessed on.</x:t>
  </x:si>
  <x:si>
    <x:t xml:space="preserve">Each member's realistic weekly availability windows across the remaining milestones.</x:t>
  </x:si>
  <x:si>
    <x:t xml:space="preserve">The pressure at a deadline is to bypass the control or to approve without reading. Both are visible in the history, and rubber-stamped approval may receive no credit (Master Brief, s9).</x:t>
  </x:si>
  <x:si>
    <x:t xml:space="preserve">CON-08, RSK-04, RSK-07, Team Working Agreement</x:t>
  </x:si>
  <x:si>
    <x:t xml:space="preserve">Engineering Decision Log (Master Brief s13). Entries marked DEFERRED are deliberate: each states the evidence still required before the decision can responsibly be taken.</x:t>
  </x:si>
  <x:si>
    <x:t xml:space="preserve">Decision</x:t>
  </x:si>
  <x:si>
    <x:t xml:space="preserve">Context</x:t>
  </x:si>
  <x:si>
    <x:t xml:space="preserve">Constraints</x:t>
  </x:si>
  <x:si>
    <x:t xml:space="preserve">Alternatives considered</x:t>
  </x:si>
  <x:si>
    <x:t xml:space="preserve">Decision taken</x:t>
  </x:si>
  <x:si>
    <x:t xml:space="preserve">Rationale</x:t>
  </x:si>
  <x:si>
    <x:t xml:space="preserve">Trade-offs</x:t>
  </x:si>
  <x:si>
    <x:t xml:space="preserve">Risks</x:t>
  </x:si>
  <x:si>
    <x:t xml:space="preserve">Evidence / evidence still required</x:t>
  </x:si>
  <x:si>
    <x:t xml:space="preserve">Later consequence</x:t>
  </x:si>
  <x:si>
    <x:t xml:space="preserve">DEC-001</x:t>
  </x:si>
  <x:si>
    <x:t xml:space="preserve">Adopt four roles: Requester, Staff, Coordinator and Manager</x:t>
  </x:si>
  <x:si>
    <x:t xml:space="preserve">Decided</x:t>
  </x:si>
  <x:si>
    <x:t xml:space="preserve">The capabilities in Master Brief s3 group into three actor types, but assignment and prioritisation are distinct from carrying out work.</x:t>
  </x:si>
  <x:si>
    <x:t xml:space="preserve">CON-06 team capability; CON-02 schedule; least privilege under CON-05.</x:t>
  </x:si>
  <x:si>
    <x:t xml:space="preserve">(a) Three roles, folding coordination into Staff. (b) Four roles as adopted. (c) Five roles, separating Administrator from Manager.</x:t>
  </x:si>
  <x:si>
    <x:t xml:space="preserve">Four roles, with administration held by Manager.</x:t>
  </x:si>
  <x:si>
    <x:t xml:space="preserve">Three roles would give every Staff member the ability to set priority, defeating DEC-002 and the accountability the platform exists to create. Five roles adds a permission set and a test column for a separation no stakeholder in the analysis has asked for.</x:t>
  </x:si>
  <x:si>
    <x:t xml:space="preserve">More roles means a larger access matrix and more negative tests. Manager holds both oversight and administration, which is a mild separation-of-duties compromise accepted for a team of this size.</x:t>
  </x:si>
  <x:si>
    <x:t xml:space="preserve">If the organisation later requires separation of administration from oversight, the matrix and tests must be revised.</x:t>
  </x:si>
  <x:si>
    <x:t xml:space="preserve">PED s5 stakeholder analysis; access matrix Table 6.5.</x:t>
  </x:si>
  <x:si>
    <x:t xml:space="preserve">Sets the permission model that FR-002 and every negative test in M3 are derived from.</x:t>
  </x:si>
  <x:si>
    <x:t xml:space="preserve">DEC-002</x:t>
  </x:si>
  <x:si>
    <x:t xml:space="preserve">Requester-reported urgency is an input; the Coordinator owns priority</x:t>
  </x:si>
  <x:si>
    <x:t xml:space="preserve">STK-01 wants to signal that a request is urgent. STK-03 is accountable for the order in which work is actually done.</x:t>
  </x:si>
  <x:si>
    <x:t xml:space="preserve">Accountability requirement in Master Brief s2; no reliable way to validate a self-declared urgency.</x:t>
  </x:si>
  <x:si>
    <x:t xml:space="preserve">(a) Requester sets priority directly. (b) No urgency captured at all. (c) Urgency captured as a separate attribute, priority set by Coordinator.</x:t>
  </x:si>
  <x:si>
    <x:t xml:space="preserve">Option (c).</x:t>
  </x:si>
  <x:si>
    <x:t xml:space="preserve">Option (a) makes priority meaningless within a short period because there is no cost to declaring urgency. Option (b) discards genuine information the Requester holds about impact.</x:t>
  </x:si>
  <x:si>
    <x:t xml:space="preserve">The Requester may perceive that their urgency was ignored. Mitigated by keeping both values visible to the Coordinator and by FR-020 requiring a reason on rejection.</x:t>
  </x:si>
  <x:si>
    <x:t xml:space="preserve">If the two values diverge persistently the organisation may need a documented triage rule, which does not exist yet.</x:t>
  </x:si>
  <x:si>
    <x:t xml:space="preserve">FR-021; stakeholder conflict recorded against STK-03.</x:t>
  </x:si>
  <x:si>
    <x:t xml:space="preserve">Requires two attributes in the M2 data design, not one.</x:t>
  </x:si>
  <x:si>
    <x:t xml:space="preserve">DEC-003</x:t>
  </x:si>
  <x:si>
    <x:t xml:space="preserve">Separate internal action entries from requester-visible entries</x:t>
  </x:si>
  <x:si>
    <x:t xml:space="preserve">STK-01 wants full visibility. STK-02 needs to record candid working notes, including notes about access, safety or difficulty.</x:t>
  </x:si>
  <x:si>
    <x:t xml:space="preserve">CON-05 security and least privilege; POPIA minimisation under NFR-008.</x:t>
  </x:si>
  <x:si>
    <x:t xml:space="preserve">(a) All notes visible to the Requester. (b) No notes visible to the Requester. (c) Visibility chosen explicitly per entry.</x:t>
  </x:si>
  <x:si>
    <x:t xml:space="preserve">Option (c), with no default visibility.</x:t>
  </x:si>
  <x:si>
    <x:t xml:space="preserve">Option (a) suppresses honest recording, which degrades the record the platform exists to create. Option (b) returns the Requester to chasing by telephone, which is the original problem.</x:t>
  </x:si>
  <x:si>
    <x:t xml:space="preserve">Every action entry now carries a decision the author must make, which is a small ongoing cost and a possible source of error.</x:t>
  </x:si>
  <x:si>
    <x:t xml:space="preserve">An entry marked with the wrong visibility is a disclosure. FR-017 therefore forbids a silent default.</x:t>
  </x:si>
  <x:si>
    <x:t xml:space="preserve">FR-011, FR-017; stakeholder conflict recorded against STK-01 and STK-02.</x:t>
  </x:si>
  <x:si>
    <x:t xml:space="preserve">Makes visibility a field in the data model and a case in the M3 negative-test matrix.</x:t>
  </x:si>
  <x:si>
    <x:t xml:space="preserve">DEC-004</x:t>
  </x:si>
  <x:si>
    <x:t xml:space="preserve">Issue a unique human-readable request reference at submission</x:t>
  </x:si>
  <x:si>
    <x:t xml:space="preserve">Requesters, staff and management all need to refer to one request unambiguously across conversations that will continue to happen outside the system.</x:t>
  </x:si>
  <x:si>
    <x:t xml:space="preserve">CON-01 scope; the accountability need in Master Brief s2.</x:t>
  </x:si>
  <x:si>
    <x:t xml:space="preserve">(a) Expose the internal identifier. (b) Issue a separate human-readable reference.</x:t>
  </x:si>
  <x:si>
    <x:t xml:space="preserve">Option (b).</x:t>
  </x:si>
  <x:si>
    <x:t xml:space="preserve">Exposing an internal sequential identifier both reveals volume and invites enumeration attempts against FR-012.</x:t>
  </x:si>
  <x:si>
    <x:t xml:space="preserve">A second identifier must be generated, kept unique and never reused, which is a small amount of additional logic and one more uniqueness constraint.</x:t>
  </x:si>
  <x:si>
    <x:t xml:space="preserve">Reference collision or reuse would corrupt the audit trail. FR-008 states the acceptance criterion.</x:t>
  </x:si>
  <x:si>
    <x:t xml:space="preserve">FR-008; FR-012.</x:t>
  </x:si>
  <x:si>
    <x:t xml:space="preserve">Constrains the M2 data design to a generation strategy that is safe under concurrent submission.</x:t>
  </x:si>
  <x:si>
    <x:t xml:space="preserve">DEC-005</x:t>
  </x:si>
  <x:si>
    <x:t xml:space="preserve">In-application notification only in the baseline</x:t>
  </x:si>
  <x:si>
    <x:t xml:space="preserve">Decided (scope)</x:t>
  </x:si>
  <x:si>
    <x:t xml:space="preserve">STK-01 needs to know when something happens to a request. Email, SMS and WhatsApp channels all reach the requester more directly.</x:t>
  </x:si>
  <x:si>
    <x:t xml:space="preserve">CON-02 schedule; CON-03 cost; unknown platform background-processing limits.</x:t>
  </x:si>
  <x:si>
    <x:t xml:space="preserve">(a) Email notification in the baseline. (b) In-application indication only. (c) Both.</x:t>
  </x:si>
  <x:si>
    <x:t xml:space="preserve">Option (b), with the channel deferred as SC-D-01.</x:t>
  </x:si>
  <x:si>
    <x:t xml:space="preserve">An external channel needs a sending service, a background worker, delivery-failure handling and a bounce position, none of which can be specified before the platform is known.</x:t>
  </x:si>
  <x:si>
    <x:t xml:space="preserve">The Requester must sign in to learn of an update, which is weaker than the stated need. This is a known gap, recorded rather than concealed.</x:t>
  </x:si>
  <x:si>
    <x:t xml:space="preserve">If the M2 platform cannot run a background worker, the deferral becomes an exclusion. Recorded as FEC-03.</x:t>
  </x:si>
  <x:si>
    <x:t xml:space="preserve">SC-D-01; FEC-03.</x:t>
  </x:si>
  <x:si>
    <x:t xml:space="preserve">Makes background-process support a required criterion in DEC-010.</x:t>
  </x:si>
  <x:si>
    <x:t xml:space="preserve">DEC-006</x:t>
  </x:si>
  <x:si>
    <x:t xml:space="preserve">Exclude file attachments from the baseline</x:t>
  </x:si>
  <x:si>
    <x:t xml:space="preserve">A photograph of a fault is high-value evidence for STK-02 and would reduce return visits.</x:t>
  </x:si>
  <x:si>
    <x:t xml:space="preserve">CON-03 cost of storage; CON-05 security; CON-02 schedule.</x:t>
  </x:si>
  <x:si>
    <x:t xml:space="preserve">(a) Include attachments. (b) Include with type and size restriction only. (c) Defer.</x:t>
  </x:si>
  <x:si>
    <x:t xml:space="preserve">Option (c), deferred as SC-D-02. Defended in PED s6.4.</x:t>
  </x:si>
  <x:si>
    <x:t xml:space="preserve">Attachments introduce storage cost, content-type validation, malware scanning, a retention position and personal information inside images. The team cannot meet the security obligations within the schedule, and a half-controlled attachment feature is worse than none.</x:t>
  </x:si>
  <x:si>
    <x:t xml:space="preserve">Requesters will describe faults in text, which is less precise. Staff may need more site visits.</x:t>
  </x:si>
  <x:si>
    <x:t xml:space="preserve">Deferral is only safe if the M2 data design does not preclude adding an attachment relationship later.</x:t>
  </x:si>
  <x:si>
    <x:t xml:space="preserve">SC-D-02; PED s6.4.</x:t>
  </x:si>
  <x:si>
    <x:t xml:space="preserve">The M2 data design must leave room for an attachment relationship without a migration.</x:t>
  </x:si>
  <x:si>
    <x:t xml:space="preserve">DEC-007</x:t>
  </x:si>
  <x:si>
    <x:t xml:space="preserve">Adopt MoSCoW prioritisation and the project identifier scheme</x:t>
  </x:si>
  <x:si>
    <x:t xml:space="preserve">Decided (process)</x:t>
  </x:si>
  <x:si>
    <x:t xml:space="preserve">Requirements, risks, decisions and changes must carry stable identifiers that survive into later milestones (Master Brief, s6.1 and s11).</x:t>
  </x:si>
  <x:si>
    <x:t xml:space="preserve">CON-08 governance; the RTM must remain usable as evidence grows.</x:t>
  </x:si>
  <x:si>
    <x:t xml:space="preserve">(a) High/Medium/Low priority. (b) MoSCoW. (c) Numeric ranking.</x:t>
  </x:si>
  <x:si>
    <x:t xml:space="preserve">MoSCoW, with the scheme FR-nnn, NFR-nnn, STK-nn, CON-nn, RSK-nn, DEC-nnn, FEC-nn, SC-x-nn, CR-nnn.</x:t>
  </x:si>
  <x:si>
    <x:t xml:space="preserve">MoSCoW states the commitment rather than a relative ordering, which is what a baseline needs. It also identifies the Should and Could set that RSK-03 designates as the absorption buffer for the M3 change.</x:t>
  </x:si>
  <x:si>
    <x:t xml:space="preserve">MoSCoW invites everything to be labelled Must. Countered by requiring a stakeholder source for each item.</x:t>
  </x:si>
  <x:si>
    <x:t xml:space="preserve">Identifiers must not be renumbered once baselined; doing so silently breaks the RTM.</x:t>
  </x:si>
  <x:si>
    <x:t xml:space="preserve">Requirements register; RTM.</x:t>
  </x:si>
  <x:si>
    <x:t xml:space="preserve">Every later artefact references these identifiers, so the scheme is effectively irreversible after sign-off.</x:t>
  </x:si>
  <x:si>
    <x:t xml:space="preserve">DEC-008</x:t>
  </x:si>
  <x:si>
    <x:t xml:space="preserve">Technology stack selection</x:t>
  </x:si>
  <x:si>
    <x:t xml:space="preserve">DEC-009</x:t>
  </x:si>
  <x:si>
    <x:t xml:space="preserve">Software architecture style</x:t>
  </x:si>
  <x:si>
    <x:t xml:space="preserve">DEC-010</x:t>
  </x:si>
  <x:si>
    <x:t xml:space="preserve">Deployment platform and environment topology</x:t>
  </x:si>
  <x:si>
    <x:t xml:space="preserve">DEFERRED to M2</x:t>
  </x:si>
  <x:si>
    <x:t xml:space="preserve">The availability target NFR-003 and the cost ceiling NFR-013 both depend on a platform that has not been chosen.</x:t>
  </x:si>
  <x:si>
    <x:t xml:space="preserve">CON-03 cost; CON-07 availability of the platform; NFR-003; NFR-013.</x:t>
  </x:si>
  <x:si>
    <x:t xml:space="preserve">Not yet evaluated.</x:t>
  </x:si>
  <x:si>
    <x:t xml:space="preserve">Deliberately not decided.</x:t>
  </x:si>
  <x:si>
    <x:t xml:space="preserve">Platform behaviour cannot be assumed from marketing material; free-tier terms, idle behaviour and background-process limits must be verified (Master Brief, s23).</x:t>
  </x:si>
  <x:si>
    <x:t xml:space="preserve">None yet, but this decision has the shortest safe deferral window of the four because FEC-03 and FEC-05 both wait on it.</x:t>
  </x:si>
  <x:si>
    <x:t xml:space="preserve">Choosing on cost alone could permanently close the deferred notification channel (FEC-03) or make staging parity impossible (FEC-05).</x:t>
  </x:si>
  <x:si>
    <x:t xml:space="preserve">Evidence still required: free-tier quotas and terms; cold-start and idle behaviour measured against NFR-003; background-process and scheduled-job support; region and data residency; rollback mechanism; projected cost beyond the educational context.</x:t>
  </x:si>
  <x:si>
    <x:t xml:space="preserve">Determines whether NFR-003 and NFR-013 are achievable and whether SC-D-01 can ever be reinstated.</x:t>
  </x:si>
  <x:si>
    <x:t xml:space="preserve">DEC-011</x:t>
  </x:si>
  <x:si>
    <x:t xml:space="preserve">Persistence technology and schema design</x:t>
  </x:si>
  <x:si>
    <x:t xml:space="preserve">DEC-012</x:t>
  </x:si>
  <x:si>
    <x:t xml:space="preserve">Adopt protected main with short-lived branches and two-reviewer approval</x:t>
  </x:si>
  <x:si>
    <x:t xml:space="preserve">Decided (governance)</x:t>
  </x:si>
  <x:si>
    <x:t xml:space="preserve">Master Brief s9 mandates the controls. The team must decide how to operate them with three members from the first week of M1.</x:t>
  </x:si>
  <x:si>
    <x:t xml:space="preserve">CON-08 governance; CON-02 schedule; RSK-04 review capacity.</x:t>
  </x:si>
  <x:si>
    <x:t xml:space="preserve">(a) Long-lived feature branches per member. (b) Short-lived branches per issue with rapid review. (c) Direct commits to main for documents only.</x:t>
  </x:si>
  <x:si>
    <x:t xml:space="preserve">Option (b). Every substantive change to any controlled artefact, document or code, enters main through a Pull Request with two approvals.</x:t>
  </x:si>
  <x:si>
    <x:t xml:space="preserve">Option (a) produces large, hard-to-review Pull Requests that invite rubber-stamping. Option (c) is not permitted by Master Brief s9 and would exclude the PED and registers from controlled history, which is where most M1 evidence lives.</x:t>
  </x:si>
  <x:si>
    <x:t xml:space="preserve">Every document change now costs a Pull Request and two reviews. This is a real overhead accepted because the review history is itself assessed evidence.</x:t>
  </x:si>
  <x:si>
    <x:t xml:space="preserve">With three members, one absence blocks all merges. Recorded as RSK-04 and FEC-07.</x:t>
  </x:si>
  <x:si>
    <x:t xml:space="preserve">Repository branch protection settings; Pull Request history; PED s12.</x:t>
  </x:si>
  <x:si>
    <x:t xml:space="preserve">Applies to every controlled change for the remainder of the project.</x:t>
  </x:si>
  <x:si>
    <x:t xml:space="preserve">AI Usage Register (Master Brief s10.1). Complete a row at the time the work is done, not retrospectively. Highlighted cells are placeholders you must replace.</x:t>
  </x:si>
  <x:si>
    <x:t xml:space="preserve">Date</x:t>
  </x:si>
  <x:si>
    <x:t xml:space="preserve">Student</x:t>
  </x:si>
  <x:si>
    <x:t xml:space="preserve">Tool</x:t>
  </x:si>
  <x:si>
    <x:t xml:space="preserve">Engineering task</x:t>
  </x:si>
  <x:si>
    <x:t xml:space="preserve">AI contribution</x:t>
  </x:si>
  <x:si>
    <x:t xml:space="preserve">Verification performed</x:t>
  </x:si>
  <x:si>
    <x:t xml:space="preserve">Issues found</x:t>
  </x:si>
  <x:si>
    <x:t xml:space="preserve">3 September 2026</x:t>
  </x:si>
  <x:si>
    <x:t xml:space="preserve">Claude (Anthropic) - conversational assistant</x:t>
  </x:si>
  <x:si>
    <x:t xml:space="preserve">Drafting PED v1.0 and the M1 registers workbook: functional and non-functional requirements with acceptance criteria, RTM, Risk Register, Forward Engineering Considerations and Decision Log.</x:t>
  </x:si>
  <x:si>
    <x:t xml:space="preserve">Proposed the document and register structure, candidate FR and NFR wording with acceptance criteria, candidate risk and forward-consideration entries, and the two PED figures.</x:t>
  </x:si>
  <x:si>
    <x:t xml:space="preserve">Every requirement checked against Master Brief s11 for a unique identifier, a named source, a priority and testable wording, and each acceptance criterion checked to be objectively verifiable. Forward Engineering Considerations checked to be CivicConnect-specific and anchored to named FR, NFR and CON identifiers rather than a generic lifecycle list. RTM columns H to L were left as Pending M2 and Pending M3 rather than populated, since no design, implementation or test evidence exists at M1.</x:t>
  </x:si>
  <x:si>
    <x:t xml:space="preserve">Accepted after revision</x:t>
  </x:si>
  <x:si>
    <x:t xml:space="preserve">Draft Decision Log entries that pre-selected a technology stack, an architecture style and a deployment platform were rejected as outside the M1 boundary (M1 brief s5) and re-recorded as deliberately deferred decisions DEC-008 to DEC-011, each stating the evidence still required before the decision can be taken.</x:t>
  </x:si>
  <x:si>
    <x:t xml:space="preserve">2026-09-09</x:t>
  </x:si>
  <x:si>
    <x:t xml:space="preserve">ChatGPT (OpenAI, GPT-5.6 Sol)</x:t>
  </x:si>
  <x:si>
    <x:t xml:space="preserve">Reviewing M1 GitHub pull requests and preparing Risk Register and Forward Engineering Consideration evidence</x:t>
  </x:si>
  <x:si>
    <x:t xml:space="preserve">Assisted with identifying review blockers, checking traceability and governance issues, drafting review wording, and structuring Risk Register and FEC notes.</x:t>
  </x:si>
  <x:si>
    <x:t xml:space="preserve">Compared the recommendations against the live GitHub pull requests, current main branch, CONTRIBUTING.md, issue requirements, and the controlled workbook and PED before accepting or revising them.</x:t>
  </x:si>
  <x:si>
    <x:t xml:space="preserve">Some suggestions were based on incomplete or outdated repository state. These were rechecked against the live repository, corrected where necessary, and unsupported claims were rejected.</x:t>
  </x:si>
  <x:si>
    <x:t xml:space="preserve">2026-09-08</x:t>
  </x:si>
  <x:si>
    <x:t xml:space="preserve">AI chat assistant</x:t>
  </x:si>
  <x:si>
    <x:t xml:space="preserve">Understanding and preparing to defend PED s8 (functional and non-functional requirements) and owned risks RSK-03, RSK-06, RSK-09, RSK-12 ahead of the M1 engineering defence; inspecting the repository's actual commit history for authenticity</x:t>
  </x:si>
  <x:si>
    <x:t xml:space="preserve">Explained the rationale linking requirement structure to ISO/IEC/IEEE 29148:2018, traced connections between FR/NFR items and owned risks, generated practice questions, and retrieved the repository's commit history via git commands</x:t>
  </x:si>
  <x:si>
    <x:t xml:space="preserve">Re-ran git log --all --stat myself against the live repository and confirmed the commit history, authorship and file changes matched what the assistant reported</x:t>
  </x:si>
  <x:si>
    <x:t xml:space="preserve">Accepted as a study aid; the commit-history finding was treated as something to raise with the team, not taken at face value</x:t>
  </x:si>
  <x:si>
    <x:t xml:space="preserve">The assistant could not assess repository authenticity from a ZIP export alone (no .git history included) until the live repository URL was supplied; a snapshot without history can look complete while hiding whether the process was authentic</x:t>
  </x:si>
  <x:si>
    <x:t xml:space="preserve">Structuring and formatting of PED v1.0 and the registers workbook, and the later repair of the document layout.</x:t>
  </x:si>
  <x:si>
    <x:t xml:space="preserve">Proposed the section architecture and numbering, the column sets and table layouts for each register sheet, and the document and workbook styling. Later re-oriented three sections to landscape and scaled five over-wide tables to the page.</x:t>
  </x:si>
  <x:si>
    <x:t xml:space="preserve">Section structure checked against the twelve required M1 outputs (M1 brief s3) and against the PED quality standard (Master Brief s6.1), to confirm that each required output has a home and a stable identifier scheme. The layout repair was verified by exporting the document to PDF and confirming that no table or figure exceeds the usable width of the section it sits in.</x:t>
  </x:si>
  <x:si>
    <x:t xml:space="preserve">Seven items overflowed the page and were cut off in the rendered document: the RTM, the Decision Log, the Risk Register, both figures, the version history table and the AI Usage Register. The RTM and both figures had been placed in portrait sections despite being sized for landscape, so scaling alone would not have made them readable.</x:t>
  </x:si>
  <x:si>
    <x:t xml:space="preserve">Claude (Anthropic) - conversational assistant. Figures produced programmatically as SVG from a Python script and rendered to PNG; no diagramming application was used.</x:t>
  </x:si>
  <x:si>
    <x:t xml:space="preserve">Producing Figure 1, the Forward Engineering Considerations map, and Figure 2, the request status model.</x:t>
  </x:si>
  <x:si>
    <x:t xml:space="preserve">Generated the SVG source, including the lifecycle columns, the marker positions for each concern and the decision each concern gates.</x:t>
  </x:si>
  <x:si>
    <x:t xml:space="preserve">Figure 1 checked against s11 and the Decision Log concern by concern: the opened-in-M1 marker, the decision or implementation window, the peak-consequence point and the gated decision for all seven concerns. Figure 2 checked against the twelve rows of the baselined status model, transition by transition, including the authorised role and the guard condition on each.</x:t>
  </x:si>
  <x:si>
    <x:t xml:space="preserve">The first attempt was rejected because it was not vector source that could be regenerated: the initial figure was a canvas rendering rather than SVG. It was redone as SVG generated from a Python script and rendered to PNG, so a marker can be moved by editing the source and re-rendering rather than by redrawing the image. Two discrepancies were then found on checking and are recorded rather than silently corrected. (1) Figure 1 names one gated decision per concern, but the Decision Log records FEC-01 and FEC-06 as gating DEC-009 as well as DEC-011, since DEC-009 requires the record-level authorisation shape from FEC-01 and the reporting load position from FEC-06; the figure understates those two rows by one decision. The Forward Considerations sheet also cites DEC-010 in the Links column for FEC-03 and FEC-05 but cites no decision for FEC-01 or FEC-06, so that link is recorded in the Decision Log only. (2) In Figure 2 the single New to In Progress arc carries two stacked labels while the Assigned self-loop carries none, so 'reassign to a different staff member' reads as belonging to the wrong transition; recorded as issue #27 and carried as a known limitation in s16.1 rather than corrected, since the diagram source is not held in the repository. All twelve transitions, their directions, authorised roles and guard conditions are otherwise correct.</x:t>
  </x:si>
  <x:si>
    <x:t xml:space="preserve">8 September 2026</x:t>
  </x:si>
  <x:si>
    <x:t xml:space="preserve">Claude Code (Anthropic)</x:t>
  </x:si>
  <x:si>
    <x:t xml:space="preserve">M1 close-out: auditing the baseline and its repository evidence against the briefs, and drafting the AI Usage Register entries and the GitHub Governance evidence column.</x:t>
  </x:si>
  <x:si>
    <x:t xml:space="preserve">Audited the repository, git history and GitHub controls against Master Brief s9 and M1 brief s3, and drafted the register entries and the evidence references.</x:t>
  </x:si>
  <x:si>
    <x:t xml:space="preserve">Every governance claim was checked against the live repository rather than asserted. Ruleset 22248862 was read back from the GitHub API to confirm two required approvals, stale-review dismissal, linear history and an empty bypass list; secret scanning and push protection were confirmed enabled; collaborator and invitation state was confirmed directly.</x:t>
  </x:si>
  <x:si>
    <x:t xml:space="preserve">Draft evidence cells initially cited the branch-protection settings as configured. These were rewritten to cite the ruleset read back from the API, because a claim that a control exists is not evidence that it operates. Two cells were left deliberately unfilled rather than pointed at an empty Pull Request list.</x:t>
  </x:si>
  <x:si>
    <x:t xml:space="preserve">Change ID</x:t>
  </x:si>
  <x:si>
    <x:t xml:space="preserve">Requested by</x:t>
  </x:si>
  <x:si>
    <x:t xml:space="preserve">Requested change</x:t>
  </x:si>
  <x:si>
    <x:t xml:space="preserve">Reason / expected value</x:t>
  </x:si>
  <x:si>
    <x:t xml:space="preserve">Requirements affected</x:t>
  </x:si>
  <x:si>
    <x:t xml:space="preserve">Architecture / design affected</x:t>
  </x:si>
  <x:si>
    <x:t xml:space="preserve">UI / API / data affected</x:t>
  </x:si>
  <x:si>
    <x:t xml:space="preserve">Security / privacy impact</x:t>
  </x:si>
  <x:si>
    <x:t xml:space="preserve">Quality / testing impact</x:t>
  </x:si>
  <x:si>
    <x:t xml:space="preserve">Scope impact</x:t>
  </x:si>
  <x:si>
    <x:t xml:space="preserve">Schedule / resource impact</x:t>
  </x:si>
  <x:si>
    <x:t xml:space="preserve">Cost impact</x:t>
  </x:si>
  <x:si>
    <x:t xml:space="preserve">Risk impact</x:t>
  </x:si>
  <x:si>
    <x:t xml:space="preserve">Recommendation</x:t>
  </x:si>
  <x:si>
    <x:t xml:space="preserve">Approval / rationale</x:t>
  </x:si>
  <x:si>
    <x:t xml:space="preserve">Baselined request status model, drawn as PED v1.0 Figure 2. Any transition not listed here is refused (FR-016). Changing this after requests exist is a controlled change (RSK-09).</x:t>
  </x:si>
  <x:si>
    <x:t xml:space="preserve">From status</x:t>
  </x:si>
  <x:si>
    <x:t xml:space="preserve">To status</x:t>
  </x:si>
  <x:si>
    <x:t xml:space="preserve">Authorised role(s)</x:t>
  </x:si>
  <x:si>
    <x:t xml:space="preserve">Guard condition</x:t>
  </x:si>
  <x:si>
    <x:t xml:space="preserve">New</x:t>
  </x:si>
  <x:si>
    <x:t xml:space="preserve">Assigned</x:t>
  </x:si>
  <x:si>
    <x:t xml:space="preserve">Coordinator</x:t>
  </x:si>
  <x:si>
    <x:t xml:space="preserve">An assignee is nominated</x:t>
  </x:si>
  <x:si>
    <x:t xml:space="preserve">In Progress</x:t>
  </x:si>
  <x:si>
    <x:t xml:space="preserve">Staff</x:t>
  </x:si>
  <x:si>
    <x:t xml:space="preserve">Staff member accepts an unassigned request within their authorised categories</x:t>
  </x:si>
  <x:si>
    <x:t xml:space="preserve">Rejected</x:t>
  </x:si>
  <x:si>
    <x:t xml:space="preserve">A rejection reason is supplied (FR-020)</x:t>
  </x:si>
  <x:si>
    <x:t xml:space="preserve">Staff, Coordinator</x:t>
  </x:si>
  <x:si>
    <x:t xml:space="preserve">The assignee begins work</x:t>
  </x:si>
  <x:si>
    <x:t xml:space="preserve">Reassignment to a different assignee; audited as an assignee change (FR-025)</x:t>
  </x:si>
  <x:si>
    <x:t xml:space="preserve">A rejection reason is supplied</x:t>
  </x:si>
  <x:si>
    <x:t xml:space="preserve">On Hold</x:t>
  </x:si>
  <x:si>
    <x:t xml:space="preserve">A hold reason is recorded as an action entry</x:t>
  </x:si>
  <x:si>
    <x:t xml:space="preserve">Resolved</x:t>
  </x:si>
  <x:si>
    <x:t xml:space="preserve">A resolution summary is supplied (FR-018)</x:t>
  </x:si>
  <x:si>
    <x:t xml:space="preserve">The blocking condition is recorded as cleared</x:t>
  </x:si>
  <x:si>
    <x:t xml:space="preserve">Closed</x:t>
  </x:si>
  <x:si>
    <x:t xml:space="preserve">Coordinator, Manager</x:t>
  </x:si>
  <x:si>
    <x:t xml:space="preserve">Closure confirmed (FR-019)</x:t>
  </x:si>
  <x:si>
    <x:t xml:space="preserve">Reopened because the resolution was not accepted; reason recorded</x:t>
  </x:si>
  <x:si>
    <x:t xml:space="preserve">Role and function permissions. The M3 negative-test matrix is derived directly from this sheet: every 'No' is a test case (NFR-005).</x:t>
  </x:si>
  <x:si>
    <x:t xml:space="preserve">Function</x:t>
  </x:si>
  <x:si>
    <x:t xml:space="preserve">Requester</x:t>
  </x:si>
  <x:si>
    <x:t xml:space="preserve">Manager</x:t>
  </x:si>
  <x:si>
    <x:t xml:space="preserve">Submit a request</x:t>
  </x:si>
  <x:si>
    <x:t xml:space="preserve">Yes</x:t>
  </x:si>
  <x:si>
    <x:t xml:space="preserve">View own requests</x:t>
  </x:si>
  <x:si>
    <x:t xml:space="preserve">View any request in authorised categories</x:t>
  </x:si>
  <x:si>
    <x:t xml:space="preserve">No</x:t>
  </x:si>
  <x:si>
    <x:t xml:space="preserve">View internal action entries</x:t>
  </x:si>
  <x:si>
    <x:t xml:space="preserve">Assign a request to another user</x:t>
  </x:si>
  <x:si>
    <x:t xml:space="preserve">Accept an unassigned request in scope</x:t>
  </x:si>
  <x:si>
    <x:t xml:space="preserve">Record an action entry</x:t>
  </x:si>
  <x:si>
    <x:t xml:space="preserve">Change status (model-permitted transitions)</x:t>
  </x:si>
  <x:si>
    <x:t xml:space="preserve">Move Resolved to Closed</x:t>
  </x:si>
  <x:si>
    <x:t xml:space="preserve">Reject a request</x:t>
  </x:si>
  <x:si>
    <x:t xml:space="preserve">Set or change priority</x:t>
  </x:si>
  <x:si>
    <x:t xml:space="preserve">View management counts and breakdowns</x:t>
  </x:si>
  <x:si>
    <x:t xml:space="preserve">Maintain the category list</x:t>
  </x:si>
  <x:si>
    <x:t xml:space="preserve">Create or deactivate a user account</x:t>
  </x:si>
  <x:si>
    <x:t xml:space="preserve">Edit or delete an audit entry</x:t>
  </x:si>
  <x:si>
    <x:t xml:space="preserve">Controlled team working agreement. Required by M1 brief s10 readiness checklist.</x:t>
  </x:si>
  <x:si>
    <x:t xml:space="preserve">Area</x:t>
  </x:si>
  <x:si>
    <x:t xml:space="preserve">Agreement</x:t>
  </x:si>
  <x:si>
    <x:t xml:space="preserve">Cadence</x:t>
  </x:si>
  <x:si>
    <x:t xml:space="preserve">Two fixed working sessions each week plus one 20-minute checkpoint at which the PED, RTM, Risk Register and repository history are reviewed together. Attendance is recorded.</x:t>
  </x:si>
  <x:si>
    <x:t xml:space="preserve">Review turnaround</x:t>
  </x:si>
  <x:si>
    <x:t xml:space="preserve">A Pull Request receives a first review within 24 hours on a working day. This is a commitment made because CON-08 makes every merge dependent on both other members (RSK-04).</x:t>
  </x:si>
  <x:si>
    <x:t xml:space="preserve">Review windows</x:t>
  </x:si>
  <x:si>
    <x:t xml:space="preserve">Two windows each week are held open by all three members specifically for review, so that review is scheduled work rather than an interruption.</x:t>
  </x:si>
  <x:si>
    <x:t xml:space="preserve">Pull Request size</x:t>
  </x:si>
  <x:si>
    <x:t xml:space="preserve">One issue per Pull Request. A change large enough that a reviewer cannot hold it in their head is split, because approval that does not reflect meaningful review may receive no credit (Master Brief, s9).</x:t>
  </x:si>
  <x:si>
    <x:t xml:space="preserve">Definition of done</x:t>
  </x:si>
  <x:si>
    <x:t xml:space="preserve">Change is linked to an issue and a requirement identifier; affected registers are updated in the same Pull Request; checks pass; two approvals from members other than the author; merged by the author after approval.</x:t>
  </x:si>
  <x:si>
    <x:t xml:space="preserve">Authorship rotation</x:t>
  </x:si>
  <x:si>
    <x:t xml:space="preserve">No controlled artefact has a single permanent owner. Section ownership in the PED rotates each milestone so every member has authored and reviewed across the whole artefact set (RSK-07).</x:t>
  </x:si>
  <x:si>
    <x:t xml:space="preserve">Decision rule</x:t>
  </x:si>
  <x:si>
    <x:t xml:space="preserve">Technical decisions are taken by consensus at a working session and recorded in the Decision Log. Where consensus is not reached within one session the alternatives, the disagreement and the evidence still needed are recorded, and the decision is deferred rather than defaulted.</x:t>
  </x:si>
  <x:si>
    <x:t xml:space="preserve">Escalation</x:t>
  </x:si>
  <x:si>
    <x:t xml:space="preserve">A blocking disagreement or a blocked merge lasting more than two working days is raised with the lecturer rather than absorbed silently.</x:t>
  </x:si>
  <x:si>
    <x:t xml:space="preserve">Communication</x:t>
  </x:si>
  <x:si>
    <x:t xml:space="preserve">One agreed team channel for coordination. Engineering decisions are not settled in chat; they are recorded in the Decision Log or a Pull Request where they form part of the controlled history.</x:t>
  </x:si>
  <x:si>
    <x:t xml:space="preserve">AI use</x:t>
  </x:si>
  <x:si>
    <x:t xml:space="preserve">Permitted as an engineering assistant. Material contributions are recorded in the AI Usage Register at the time. No member approves AI-assisted work they cannot explain without the assistant. AI-assisted work carries the same branch, review and test controls as any other change (Master Brief, s10).</x:t>
  </x:si>
  <x:si>
    <x:t xml:space="preserve">Secrets</x:t>
  </x:si>
  <x:si>
    <x:t xml:space="preserve">No credential, key or token is committed. Configuration required to run locally is shared outside the repository through an agreed mechanism and is documented in the repository as a template with placeholder values only (NFR-007).</x:t>
  </x:si>
  <x:si>
    <x:t xml:space="preserve">Contribution evidence</x:t>
  </x:si>
  <x:si>
    <x:t xml:space="preserve">Each member maintains authored commits, owned issues, authored Pull Requests and reviewed Pull Requests throughout every milestone, because individual evidence is assessed separately (Master Brief, s8.1).</x:t>
  </x:si>
  <x:si>
    <x:t xml:space="preserve">Repository controls required by Master Brief s9. The Evidence column is yours to complete: only the team can produce this evidence, and it must be created progressively, not before submission.</x:t>
  </x:si>
  <x:si>
    <x:t xml:space="preserve">Control</x:t>
  </x:si>
  <x:si>
    <x:t xml:space="preserve">How the team applies it</x:t>
  </x:si>
  <x:si>
    <x:t xml:space="preserve">Evidence link</x:t>
  </x:si>
  <x:si>
    <x:t xml:space="preserve">Repository</x:t>
  </x:si>
  <x:si>
    <x:t xml:space="preserve">One controlled team repository holding the PED, all registers, and later the source and tests. Documents live in the repository from week one of M1 so that history is authentic rather than reconstructed (RSK-08).</x:t>
  </x:si>
  <x:si>
    <x:t xml:space="preserve">https://github.com/PVY-Smit/civicconnect (public). Holds PED v1.0, the seventeen register sheets and both figures under docs/, with src/ and tests/ in place for M3.</x:t>
  </x:si>
  <x:si>
    <x:t xml:space="preserve">Main branch protection</x:t>
  </x:si>
  <x:si>
    <x:t xml:space="preserve">main is protected. Direct pushes are disabled for all members including administrators.</x:t>
  </x:si>
  <x:si>
    <x:t xml:space="preserve">Ruleset "Protect main" (id 22248862), enforcement active on refs/heads/main: https://github.com/PVY-Smit/civicconnect/rules/22248862. bypass_actors is empty, so the control binds administrators as well. Read back from the GitHub API on 8 September 2026.</x:t>
  </x:si>
  <x:si>
    <x:t xml:space="preserve">Pull Requests</x:t>
  </x:si>
  <x:si>
    <x:t xml:space="preserve">Required for every substantive change to any controlled artefact, documents included.</x:t>
  </x:si>
  <x:si>
    <x:t xml:space="preserve">https://github.com/PVY-Smit/civicconnect/pulls?q=is%3Apr. Every change to a controlled artefact since the baseline commit has entered through a Pull Request: #18 AI Usage Register, #19 PED layout. The two direct commits to main predate the ruleset, which was created on 4 September 2026; none have occurred since.</x:t>
  </x:si>
  <x:si>
    <x:t xml:space="preserve">Required approvals</x:t>
  </x:si>
  <x:si>
    <x:t xml:space="preserve">Two approvals from members other than the author. Self-approval is not accepted.</x:t>
  </x:si>
  <x:si>
    <x:t xml:space="preserve">Ruleset rule pull_request, required_approving_review_count = 2: https://github.com/PVY-Smit/civicconnect/rules/22248862. GitHub does not permit an author to approve their own Pull Request, so self-approval cannot occur.</x:t>
  </x:si>
  <x:si>
    <x:t xml:space="preserve">Stale review dismissal</x:t>
  </x:si>
  <x:si>
    <x:t xml:space="preserve">Approvals are dismissed when new commits are pushed, so an approval always refers to the merged content.</x:t>
  </x:si>
  <x:si>
    <x:t xml:space="preserve">Ruleset rule pull_request, dismiss_stale_reviews_on_push = true: https://github.com/PVY-Smit/civicconnect/rules/22248862. An approval therefore always refers to the commit that merges, not to an earlier one.</x:t>
  </x:si>
  <x:si>
    <x:t xml:space="preserve">Linear history</x:t>
  </x:si>
  <x:si>
    <x:t xml:space="preserve">Enabled, so that the controlled history stays readable as evidence.</x:t>
  </x:si>
  <x:si>
    <x:t xml:space="preserve">Ruleset rules required_linear_history and non_fast_forward, both active: https://github.com/PVY-Smit/civicconnect/rules/22248862. Merge commits and force pushes to main are refused.</x:t>
  </x:si>
  <x:si>
    <x:t xml:space="preserve">Branch naming</x:t>
  </x:si>
  <x:si>
    <x:t xml:space="preserve">type/issue-number-short-description, for example docs/14-scope-baseline or feat/27-request-submission.</x:t>
  </x:si>
  <x:si>
    <x:t xml:space="preserve">Convention in CONTRIBUTING.md, "Branch naming": https://github.com/PVY-Smit/civicconnect/blob/800b982f60ff7edb1931debc8525ffb6a48a5a20/CONTRIBUTING.md#L20-L26. Applied in the live branches docs/10-ai-register-js, docs/ped-layout-fix, docs/20-fec-decision-links and docs/6-governance-evidence.</x:t>
  </x:si>
  <x:si>
    <x:t xml:space="preserve">Issues and board</x:t>
  </x:si>
  <x:si>
    <x:t xml:space="preserve">Every substantive change is represented by an issue on the project board and referenced from the branch and Pull Request.</x:t>
  </x:si>
  <x:si>
    <x:t xml:space="preserve">Board: https://github.com/users/PVY-Smit/projects/1. Issues: https://github.com/PVY-Smit/civicconnect/issues. Every issue raised on the project is placed on the board, and each controlled change references its issue from the branch name and from the Pull Request that implements it. No fixed count is stated here: the number changes whenever an issue is raised, and evidence that goes stale on its own is weaker than evidence that describes the control.</x:t>
  </x:si>
  <x:si>
    <x:t xml:space="preserve">Pull Request template</x:t>
  </x:si>
  <x:si>
    <x:t xml:space="preserve">Prompts for the linked issue and requirement identifier, the registers updated, the checks run, and what the reviewer should focus on.</x:t>
  </x:si>
  <x:si>
    <x:t xml:space="preserve">https://github.com/PVY-Smit/civicconnect/blob/800b982f60ff7edb1931debc8525ffb6a48a5a20/.github/pull_request_template.md. In use on #18 and #19, both of which record the linked issue, the registers touched, the AI-assistance declaration and what the reviewer should focus on.</x:t>
  </x:si>
  <x:si>
    <x:t xml:space="preserve">Review checklist</x:t>
  </x:si>
  <x:si>
    <x:t xml:space="preserve">Alignment with the requirement and its acceptance criteria; correctness; maintainability; security and privacy implications; test and regression impact; dependency changes; traceability impact; whether the change belongs in the controlled baseline (Master Brief, s9.1).</x:t>
  </x:si>
  <x:si>
    <x:t xml:space="preserve">Checklist in CONTRIBUTING.md, "Review checklist": https://github.com/PVY-Smit/civicconnect/blob/800b982f60ff7edb1931debc8525ffb6a48a5a20/CONTRIBUTING.md#L55-L68. The control operating, not merely configured: review of #18 found the registers-updated checklist inverted against the actual change, which was corrected in response (https://github.com/PVY-Smit/civicconnect/pull/18#issuecomment-5583144236); the same review found that the Figure 2 label defect was recorded in a register row but not tracked as work, and it was raised as issue #27 (https://github.com/PVY-Smit/civicconnect/pull/18#issuecomment-5583171255). Approval carrying reasoning rather than a bare tick: https://github.com/PVY-Smit/civicconnect/pull/19#pullrequestreview-5140293911.</x:t>
  </x:si>
  <x:si>
    <x:t xml:space="preserve">Secret scanning</x:t>
  </x:si>
  <x:si>
    <x:t xml:space="preserve">Enabled on the repository, with push protection where available (NFR-007).</x:t>
  </x:si>
  <x:si>
    <x:t xml:space="preserve">Secret scanning and push protection both enabled, confirmed from the GitHub API on 8 September 2026: https://github.com/PVY-Smit/civicconnect/settings/security_analysis. Supported by .gitignore, which excludes .env, key and certificate files, and by .env.example, which carries placeholder values only (NFR-007, RSK-11).</x:t>
  </x:si>
  <x:si>
    <x:t xml:space="preserve">Repository structure</x:t>
  </x:si>
  <x:si>
    <x:t xml:space="preserve">docs/PED, docs/requirements, docs/risk, docs/decisions, docs/change, docs/quality, docs/security, docs/deployment, src, tests, .github (Master Brief, Appendix C).</x:t>
  </x:si>
  <x:si>
    <x:t xml:space="preserve">https://github.com/PVY-Smit/civicconnect/tree/main/docs. docs/PED, docs/requirements, docs/architecture, docs/decisions, docs/risk, docs/change, docs/quality, docs/security, docs/deployment, plus src/, tests/ and .github/. Folders for later milestones are present and empty by design (Master Brief, Appendix C).</x:t>
  </x:si>
  <x:si>
    <x:t xml:space="preserve">Baseline sign-off (Master Brief Appendix D). Complete at the M1 gate review, with all three members present.</x:t>
  </x:si>
  <x:si>
    <x:t xml:space="preserve">Field</x:t>
  </x:si>
  <x:si>
    <x:t xml:space="preserve">Value</x:t>
  </x:si>
  <x:si>
    <x:t xml:space="preserve">Project</x:t>
  </x:si>
  <x:si>
    <x:t xml:space="preserve">CivicConnect - Community Service Request Management Platform</x:t>
  </x:si>
  <x:si>
    <x:t xml:space="preserve">Baseline type</x:t>
  </x:si>
  <x:si>
    <x:t xml:space="preserve">Engineering Foundation and Requirements Baseline</x:t>
  </x:si>
  <x:si>
    <x:t xml:space="preserve">Document</x:t>
  </x:si>
  <x:si>
    <x:t xml:space="preserve">PED v1.0</x:t>
  </x:si>
  <x:si>
    <x:t xml:space="preserve">1.0</x:t>
  </x:si>
  <x:si>
    <x:t xml:space="preserve">[Insert date]</x:t>
  </x:si>
  <x:si>
    <x:t xml:space="preserve">Scope reviewed</x:t>
  </x:si>
  <x:si>
    <x:t xml:space="preserve">YES / NO</x:t>
  </x:si>
  <x:si>
    <x:t xml:space="preserve">Requirements and traceability checked</x:t>
  </x:si>
  <x:si>
    <x:t xml:space="preserve">Risk review completed</x:t>
  </x:si>
  <x:si>
    <x:t xml:space="preserve">Repository and governance controls checked</x:t>
  </x:si>
  <x:si>
    <x:t xml:space="preserve">Forward Engineering Considerations reviewed</x:t>
  </x:si>
  <x:si>
    <x:t xml:space="preserve">AI Usage Register current and verified</x:t>
  </x:si>
  <x:si>
    <x:t xml:space="preserve">Outcome</x:t>
  </x:si>
  <x:si>
    <x:t xml:space="preserve">ACCEPTED / CONDITIONALLY ACCEPTED / REVISION REQUIRED</x:t>
  </x:si>
  <x:si>
    <x:t xml:space="preserve">Conditions recorded (if any)</x:t>
  </x:si>
  <x:si>
    <x:t xml:space="preserve">[Insert]</x:t>
  </x:si>
  <x:si>
    <x:t xml:space="preserve">Team approval - Jean Smit</x:t>
  </x:si>
  <x:si>
    <x:t xml:space="preserve">Signature / date</x:t>
  </x:si>
  <x:si>
    <x:t xml:space="preserve">Team approval - Tristan Roets</x:t>
  </x:si>
  <x:si>
    <x:t xml:space="preserve">Team approval - Darius Mushi</x:t>
  </x:si>
  <x:si>
    <x:t xml:space="preserve">Assessor / client gate decision</x:t>
  </x:si>
</x:sst>
</file>

<file path=xl/styles.xml><?xml version="1.0" encoding="utf-8"?>
<x:styleSheet xmlns:x="http://schemas.openxmlformats.org/spreadsheetml/2006/main">
  <x:numFmts count="2">
    <x:numFmt numFmtId="164" formatCode="General"/>
    <x:numFmt numFmtId="165" formatCode="General"/>
  </x:numFmts>
  <x:fonts count="12">
    <x:font>
      <x:sz val="11"/>
      <x:color theme="1"/>
      <x:name val="Calibri"/>
    </x:font>
    <x:font>
      <x:sz val="10"/>
      <x:name val="Arial"/>
    </x:font>
    <x:font>
      <x:sz val="10"/>
      <x:name val="Arial"/>
    </x:font>
    <x:font>
      <x:sz val="10"/>
      <x:name val="Arial"/>
    </x:font>
    <x:font>
      <x:b/>
      <x:sz val="15"/>
      <x:color rgb="FF1F3B5C"/>
      <x:name val="Arial"/>
    </x:font>
    <x:font>
      <x:sz val="10"/>
      <x:name val="Arial"/>
    </x:font>
    <x:font>
      <x:b/>
      <x:sz val="10"/>
      <x:name val="Arial"/>
    </x:font>
    <x:font>
      <x:i/>
      <x:sz val="9"/>
      <x:color rgb="FF5C6B7A"/>
      <x:name val="Arial"/>
    </x:font>
    <x:font>
      <x:b/>
      <x:sz val="10"/>
      <x:color rgb="FFFFFFFF"/>
      <x:name val="Arial"/>
    </x:font>
    <x:font>
      <x:sz val="10"/>
      <x:name val="Arial"/>
    </x:font>
    <x:font>
      <x:i/>
      <x:sz val="11"/>
      <x:color rgb="FF667788"/>
      <x:name val="Calibri"/>
    </x:font>
    <x:font>
      <x:b/>
      <x:sz val="11"/>
      <x:color rgb="FFFFFFFF"/>
      <x:name val="Calibri"/>
    </x:font>
  </x:fonts>
  <x:fills count="7">
    <x:fill>
      <x:patternFill patternType="none"/>
    </x:fill>
    <x:fill>
      <x:patternFill patternType="gray125"/>
    </x:fill>
    <x:fill>
      <x:patternFill patternType="solid">
        <x:fgColor rgb="FFFFF3CD"/>
      </x:patternFill>
    </x:fill>
    <x:fill>
      <x:patternFill patternType="solid">
        <x:fgColor rgb="FF1F3B5C"/>
      </x:patternFill>
    </x:fill>
    <x:fill>
      <x:patternFill patternType="solid">
        <x:fgColor rgb="FFF2F5F8"/>
      </x:patternFill>
    </x:fill>
    <x:fill>
      <x:patternFill patternType="solid">
        <x:fgColor rgb="FF17365D"/>
      </x:patternFill>
    </x:fill>
    <x:fill>
      <x:patternFill patternType="solid">
        <x:fgColor rgb="FFF4F7FA"/>
      </x:patternFill>
    </x:fill>
  </x:fills>
  <x:borders count="26">
    <x:border diagonalUp="0" diagonalDown="0"/>
    <x:border diagonalUp="0" diagonalDown="0">
      <x:left style="thin">
        <x:color rgb="FFC9D2DB"/>
      </x:left>
      <x:right style="thin">
        <x:color rgb="FFC9D2DB"/>
      </x:right>
      <x:top style="thin">
        <x:color rgb="FFC9D2DB"/>
      </x:top>
      <x:bottom style="thin">
        <x:color rgb="FFC9D2DB"/>
      </x:bottom>
    </x:border>
    <x:border diagonalUp="0" diagonalDown="0"/>
    <x:border diagonalUp="0" diagonalDown="0">
      <x:left style="thin">
        <x:color rgb="FFC9D2DB"/>
      </x:left>
      <x:right style="thin">
        <x:color rgb="FFC9D2DB"/>
      </x:right>
      <x:top style="thin">
        <x:color rgb="FFC9D2DB"/>
      </x:top>
      <x:bottom style="thin">
        <x:color rgb="FFC9D2DB"/>
      </x:bottom>
    </x:border>
    <x:border diagonalUp="0" diagonalDown="0">
      <x:left style="thin">
        <x:color rgb="FFB8C6D9"/>
      </x:left>
      <x:top style="thin">
        <x:color rgb="FFB8C6D9"/>
      </x:top>
      <x:bottom style="thin">
        <x:color rgb="FFB8C6D9"/>
      </x:bottom>
    </x:border>
    <x:border diagonalUp="0" diagonalDown="0">
      <x:top style="thin">
        <x:color rgb="FFB8C6D9"/>
      </x:top>
      <x:bottom style="thin">
        <x:color rgb="FFB8C6D9"/>
      </x:bottom>
    </x:border>
    <x:border diagonalUp="0" diagonalDown="0">
      <x:right style="thin">
        <x:color rgb="FFB8C6D9"/>
      </x:right>
      <x:top style="thin">
        <x:color rgb="FFB8C6D9"/>
      </x:top>
      <x:bottom style="thin">
        <x:color rgb="FFB8C6D9"/>
      </x:bottom>
    </x:border>
    <x:border diagonalUp="0" diagonalDown="0">
      <x:left style="thin">
        <x:color rgb="FFB8C6D9"/>
      </x:left>
      <x:top style="thin">
        <x:color rgb="FFB8C6D9"/>
      </x:top>
      <x:bottom style="thin">
        <x:color rgb="FFB8C6D9"/>
      </x:bottom>
    </x:border>
    <x:border diagonalUp="0" diagonalDown="0">
      <x:top style="thin">
        <x:color rgb="FFB8C6D9"/>
      </x:top>
      <x:bottom style="thin">
        <x:color rgb="FFB8C6D9"/>
      </x:bottom>
    </x:border>
    <x:border diagonalUp="0" diagonalDown="0">
      <x:right style="thin">
        <x:color rgb="FFB8C6D9"/>
      </x:right>
      <x:top style="thin">
        <x:color rgb="FFB8C6D9"/>
      </x:top>
      <x:bottom style="thin">
        <x:color rgb="FFB8C6D9"/>
      </x:bottom>
    </x:border>
    <x:border diagonalUp="0" diagonalDown="0">
      <x:left style="thin">
        <x:color rgb="FFD5DEE9"/>
      </x:left>
      <x:top style="thin">
        <x:color rgb="FFD5DEE9"/>
      </x:top>
    </x:border>
    <x:border diagonalUp="0" diagonalDown="0">
      <x:top style="thin">
        <x:color rgb="FFD5DEE9"/>
      </x:top>
    </x:border>
    <x:border diagonalUp="0" diagonalDown="0">
      <x:right style="thin">
        <x:color rgb="FFD5DEE9"/>
      </x:right>
      <x:top style="thin">
        <x:color rgb="FFD5DEE9"/>
      </x:top>
    </x:border>
    <x:border diagonalUp="0" diagonalDown="0">
      <x:left style="thin">
        <x:color rgb="FFD5DEE9"/>
      </x:left>
    </x:border>
    <x:border diagonalUp="0" diagonalDown="0">
      <x:right style="thin">
        <x:color rgb="FFD5DEE9"/>
      </x:right>
    </x:border>
    <x:border diagonalUp="0" diagonalDown="0">
      <x:left style="thin">
        <x:color rgb="FFD5DEE9"/>
      </x:left>
      <x:bottom style="thin">
        <x:color rgb="FFD5DEE9"/>
      </x:bottom>
    </x:border>
    <x:border diagonalUp="0" diagonalDown="0">
      <x:bottom style="thin">
        <x:color rgb="FFD5DEE9"/>
      </x:bottom>
    </x:border>
    <x:border diagonalUp="0" diagonalDown="0">
      <x:right style="thin">
        <x:color rgb="FFD5DEE9"/>
      </x:right>
      <x:bottom style="thin">
        <x:color rgb="FFD5DEE9"/>
      </x:bottom>
    </x:border>
    <x:border diagonalUp="0" diagonalDown="0">
      <x:left style="thin">
        <x:color rgb="FFD5DEE9"/>
      </x:left>
      <x:top style="thin">
        <x:color rgb="FFD5DEE9"/>
      </x:top>
    </x:border>
    <x:border diagonalUp="0" diagonalDown="0">
      <x:top style="thin">
        <x:color rgb="FFD5DEE9"/>
      </x:top>
    </x:border>
    <x:border diagonalUp="0" diagonalDown="0">
      <x:right style="thin">
        <x:color rgb="FFD5DEE9"/>
      </x:right>
      <x:top style="thin">
        <x:color rgb="FFD5DEE9"/>
      </x:top>
    </x:border>
    <x:border diagonalUp="0" diagonalDown="0">
      <x:left style="thin">
        <x:color rgb="FFD5DEE9"/>
      </x:left>
    </x:border>
    <x:border diagonalUp="0" diagonalDown="0">
      <x:right style="thin">
        <x:color rgb="FFD5DEE9"/>
      </x:right>
    </x:border>
    <x:border diagonalUp="0" diagonalDown="0">
      <x:left style="thin">
        <x:color rgb="FFD5DEE9"/>
      </x:left>
      <x:bottom style="thin">
        <x:color rgb="FFD5DEE9"/>
      </x:bottom>
    </x:border>
    <x:border diagonalUp="0" diagonalDown="0">
      <x:bottom style="thin">
        <x:color rgb="FFD5DEE9"/>
      </x:bottom>
    </x:border>
    <x:border diagonalUp="0" diagonalDown="0">
      <x:right style="thin">
        <x:color rgb="FFD5DEE9"/>
      </x:right>
      <x:bottom style="thin">
        <x:color rgb="FFD5DEE9"/>
      </x:bottom>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125">
    <x:xf numFmtId="164" fontId="0" fillId="0" borderId="0" xfId="0" applyFont="0" applyBorder="0" applyAlignment="0">
      <x:alignment horizontal="general" vertical="bottom" wrapText="0"/>
    </x:xf>
    <x:xf numFmtId="164" fontId="4" fillId="0" borderId="0" xfId="0" applyFont="1" applyBorder="0" applyAlignment="0">
      <x:alignment horizontal="general" vertical="bottom" wrapText="0"/>
    </x:xf>
    <x:xf numFmtId="164" fontId="5" fillId="0" borderId="0" xfId="0" applyFont="1" applyBorder="0" applyAlignment="1">
      <x:alignment horizontal="general" vertical="top" wrapText="1"/>
    </x:xf>
    <x:xf numFmtId="164" fontId="5" fillId="0" borderId="0" xfId="0" applyFont="1" applyBorder="0" applyAlignment="0">
      <x:alignment horizontal="general" vertical="bottom" wrapText="0"/>
    </x:xf>
    <x:xf numFmtId="164" fontId="6" fillId="0" borderId="0" xfId="0" applyFont="1" applyBorder="0" applyAlignment="0">
      <x:alignment horizontal="general" vertical="bottom" wrapText="0"/>
    </x:xf>
    <x:xf numFmtId="164" fontId="5" fillId="2" borderId="0" xfId="0" applyFont="1" applyBorder="0" applyAlignment="1">
      <x:alignment horizontal="general" vertical="top" wrapText="1"/>
    </x:xf>
    <x:xf numFmtId="165" fontId="6" fillId="0" borderId="0" xfId="0" applyFont="1" applyBorder="0" applyAlignment="1">
      <x:alignment horizontal="left" vertical="bottom" wrapText="0"/>
    </x:xf>
    <x:xf numFmtId="164" fontId="7" fillId="0" borderId="0" xfId="0" applyFont="1" applyBorder="1" applyAlignment="1">
      <x:alignment horizontal="general" vertical="center" wrapText="1"/>
    </x:xf>
    <x:xf numFmtId="164" fontId="8" fillId="3" borderId="1" xfId="0" applyFont="1" applyBorder="1" applyAlignment="1">
      <x:alignment horizontal="general" vertical="top" wrapText="1"/>
    </x:xf>
    <x:xf numFmtId="164" fontId="5" fillId="0" borderId="1" xfId="0" applyFont="1" applyBorder="1" applyAlignment="1">
      <x:alignment horizontal="general" vertical="top" wrapText="1"/>
    </x:xf>
    <x:xf numFmtId="164" fontId="5" fillId="4" borderId="1" xfId="0" applyFont="1" applyBorder="1" applyAlignment="1">
      <x:alignment horizontal="general" vertical="top" wrapText="1"/>
    </x:xf>
    <x:xf numFmtId="165" fontId="6" fillId="0" borderId="1" xfId="0" applyFont="1" applyBorder="1" applyAlignment="1">
      <x:alignment horizontal="center" vertical="top" wrapText="0"/>
    </x:xf>
    <x:xf numFmtId="164" fontId="5" fillId="2" borderId="1" xfId="0" applyFont="1" applyBorder="1" applyAlignment="1">
      <x:alignment horizontal="general" vertical="top" wrapText="1"/>
    </x:xf>
    <x:xf numFmtId="165" fontId="6" fillId="4" borderId="1" xfId="0" applyFont="1" applyBorder="1" applyAlignment="1">
      <x:alignment horizontal="center" vertical="top" wrapText="0"/>
    </x:xf>
    <x:xf numFmtId="164" fontId="0" fillId="0" borderId="2" xfId="0" applyNumberFormat="1" applyFont="1" applyFill="1" applyBorder="1" applyAlignment="1">
      <x:alignment horizontal="general" vertical="bottom" wrapText="0"/>
    </x:xf>
    <x:xf numFmtId="164" fontId="4" fillId="0" borderId="2" xfId="0" applyNumberFormat="1" applyFont="1" applyFill="1" applyBorder="1" applyAlignment="1">
      <x:alignment horizontal="general" vertical="bottom" wrapText="0"/>
    </x:xf>
    <x:xf numFmtId="164" fontId="1" fillId="0" borderId="2" xfId="0" applyNumberFormat="1" applyFont="1" applyFill="1" applyBorder="1" applyAlignment="1">
      <x:alignment horizontal="general" vertical="top" wrapText="1"/>
    </x:xf>
    <x:xf numFmtId="164" fontId="1" fillId="0" borderId="2" xfId="0" applyNumberFormat="1" applyFont="1" applyFill="1" applyBorder="1" applyAlignment="1">
      <x:alignment horizontal="general" vertical="bottom" wrapText="0"/>
    </x:xf>
    <x:xf numFmtId="164" fontId="6" fillId="0" borderId="2" xfId="0" applyNumberFormat="1" applyFont="1" applyFill="1" applyBorder="1" applyAlignment="1">
      <x:alignment horizontal="general" vertical="bottom" wrapText="0"/>
    </x:xf>
    <x:xf numFmtId="164" fontId="1" fillId="2" borderId="2" xfId="0" applyNumberFormat="1" applyFont="1" applyFill="1" applyBorder="1" applyAlignment="1">
      <x:alignment horizontal="general" vertical="top" wrapText="1"/>
    </x:xf>
    <x:xf numFmtId="164" fontId="6" fillId="0" borderId="2" xfId="0" applyNumberFormat="1" applyFont="1" applyFill="1" applyBorder="1" applyAlignment="1">
      <x:alignment horizontal="left" vertical="bottom" wrapText="0"/>
    </x:xf>
    <x:xf numFmtId="164" fontId="7" fillId="0" borderId="2" xfId="0" applyNumberFormat="1" applyFont="1" applyFill="1" applyBorder="1" applyAlignment="1">
      <x:alignment horizontal="general" vertical="center" wrapText="1"/>
    </x:xf>
    <x:xf numFmtId="164" fontId="8" fillId="3" borderId="3" xfId="0" applyNumberFormat="1" applyFont="1" applyFill="1" applyBorder="1" applyAlignment="1">
      <x:alignment horizontal="general" vertical="top" wrapText="1"/>
    </x:xf>
    <x:xf numFmtId="164" fontId="1" fillId="0" borderId="3" xfId="0" applyNumberFormat="1" applyFont="1" applyFill="1" applyBorder="1" applyAlignment="1">
      <x:alignment horizontal="general" vertical="top" wrapText="1"/>
    </x:xf>
    <x:xf numFmtId="164" fontId="1" fillId="4" borderId="3" xfId="0" applyNumberFormat="1" applyFont="1" applyFill="1" applyBorder="1" applyAlignment="1">
      <x:alignment horizontal="general" vertical="top" wrapText="1"/>
    </x:xf>
    <x:xf numFmtId="164" fontId="6" fillId="0" borderId="3" xfId="0" applyNumberFormat="1" applyFont="1" applyFill="1" applyBorder="1" applyAlignment="1">
      <x:alignment horizontal="center" vertical="top" wrapText="0"/>
    </x:xf>
    <x:xf numFmtId="164" fontId="1" fillId="2" borderId="3" xfId="0" applyNumberFormat="1" applyFont="1" applyFill="1" applyBorder="1" applyAlignment="1">
      <x:alignment horizontal="general" vertical="top" wrapText="1"/>
    </x:xf>
    <x:xf numFmtId="164" fontId="6" fillId="4" borderId="3" xfId="0" applyNumberFormat="1" applyFont="1" applyFill="1" applyBorder="1" applyAlignment="1">
      <x:alignment horizontal="center" vertical="top" wrapText="0"/>
    </x:xf>
    <x:xf numFmtId="164" fontId="0" fillId="0" borderId="0" xfId="0" applyNumberFormat="1" applyFont="1" applyFill="1" applyBorder="1" applyAlignment="1">
      <x:alignment horizontal="general" vertical="bottom" wrapText="1"/>
    </x:xf>
    <x:xf numFmtId="164" fontId="0" fillId="0" borderId="2" xfId="0" applyNumberFormat="1" applyFont="1" applyFill="1" applyBorder="1" applyAlignment="1">
      <x:alignment horizontal="general" vertical="bottom" wrapText="1"/>
    </x:xf>
    <x:xf numFmtId="164" fontId="7" fillId="0" borderId="0" xfId="0" applyNumberFormat="1" applyFont="1" applyFill="1" applyBorder="1" applyAlignment="1">
      <x:alignment horizontal="general" vertical="center" wrapText="1"/>
    </x:xf>
    <x:xf numFmtId="164" fontId="8" fillId="3" borderId="1" xfId="0" applyNumberFormat="1" applyFont="1" applyFill="1" applyBorder="1" applyAlignment="1">
      <x:alignment horizontal="general" vertical="top" wrapText="1"/>
    </x:xf>
    <x:xf numFmtId="164" fontId="1" fillId="0" borderId="1" xfId="0" applyNumberFormat="1" applyFont="1" applyFill="1" applyBorder="1" applyAlignment="1">
      <x:alignment horizontal="general" vertical="top" wrapText="1"/>
    </x:xf>
    <x:xf numFmtId="164" fontId="10" fillId="0" borderId="0" xfId="0" applyNumberFormat="1" applyFont="1" applyFill="1" applyBorder="1" applyAlignment="1">
      <x:alignment horizontal="general" vertical="bottom" wrapText="1"/>
    </x:xf>
    <x:xf numFmtId="164" fontId="10" fillId="0" borderId="0" xfId="0" applyNumberFormat="1" applyFont="1" applyFill="1" applyBorder="1" applyAlignment="1">
      <x:alignment horizontal="left" vertical="bottom" wrapText="1"/>
    </x:xf>
    <x:xf numFmtId="164" fontId="10" fillId="0" borderId="0" xfId="0" applyNumberFormat="1" applyFont="1" applyFill="1" applyBorder="1" applyAlignment="1">
      <x:alignment horizontal="left" vertical="center" wrapText="1"/>
    </x:xf>
    <x:xf numFmtId="164" fontId="10" fillId="0" borderId="2" xfId="0" applyNumberFormat="1" applyFont="1" applyFill="1" applyBorder="1" applyAlignment="1">
      <x:alignment horizontal="general" vertical="bottom" wrapText="1"/>
    </x:xf>
    <x:xf numFmtId="164" fontId="10" fillId="0" borderId="2" xfId="0" applyNumberFormat="1" applyFont="1" applyFill="1" applyBorder="1" applyAlignment="1">
      <x:alignment horizontal="left" vertical="bottom" wrapText="1"/>
    </x:xf>
    <x:xf numFmtId="164" fontId="10" fillId="0" borderId="2" xfId="0" applyNumberFormat="1" applyFont="1" applyFill="1" applyBorder="1" applyAlignment="1">
      <x:alignment horizontal="left" vertical="center" wrapText="1"/>
    </x:xf>
    <x:xf numFmtId="164" fontId="0" fillId="5" borderId="0" xfId="0" applyNumberFormat="1" applyFont="1" applyFill="1" applyBorder="1" applyAlignment="1">
      <x:alignment horizontal="general" vertical="bottom" wrapText="1"/>
    </x:xf>
    <x:xf numFmtId="164" fontId="11" fillId="5" borderId="0" xfId="0" applyNumberFormat="1" applyFont="1" applyFill="1" applyBorder="1" applyAlignment="1">
      <x:alignment horizontal="general" vertical="bottom" wrapText="1"/>
    </x:xf>
    <x:xf numFmtId="164" fontId="11" fillId="5" borderId="4" xfId="0" applyNumberFormat="1" applyFont="1" applyFill="1" applyBorder="1" applyAlignment="1">
      <x:alignment horizontal="general" vertical="bottom" wrapText="1"/>
    </x:xf>
    <x:xf numFmtId="164" fontId="11" fillId="5" borderId="5" xfId="0" applyNumberFormat="1" applyFont="1" applyFill="1" applyBorder="1" applyAlignment="1">
      <x:alignment horizontal="general" vertical="bottom" wrapText="1"/>
    </x:xf>
    <x:xf numFmtId="164" fontId="11" fillId="5" borderId="6" xfId="0" applyNumberFormat="1" applyFont="1" applyFill="1" applyBorder="1" applyAlignment="1">
      <x:alignment horizontal="general" vertical="bottom" wrapText="1"/>
    </x:xf>
    <x:xf numFmtId="164" fontId="11" fillId="5" borderId="4" xfId="0" applyNumberFormat="1" applyFont="1" applyFill="1" applyBorder="1" applyAlignment="1">
      <x:alignment horizontal="left" vertical="bottom" wrapText="1"/>
    </x:xf>
    <x:xf numFmtId="164" fontId="11" fillId="5" borderId="5" xfId="0" applyNumberFormat="1" applyFont="1" applyFill="1" applyBorder="1" applyAlignment="1">
      <x:alignment horizontal="left" vertical="bottom" wrapText="1"/>
    </x:xf>
    <x:xf numFmtId="164" fontId="11" fillId="5" borderId="6" xfId="0" applyNumberFormat="1" applyFont="1" applyFill="1" applyBorder="1" applyAlignment="1">
      <x:alignment horizontal="left" vertical="bottom" wrapText="1"/>
    </x:xf>
    <x:xf numFmtId="164" fontId="11" fillId="5" borderId="4" xfId="0" applyNumberFormat="1" applyFont="1" applyFill="1" applyBorder="1" applyAlignment="1">
      <x:alignment horizontal="left" vertical="center" wrapText="1"/>
    </x:xf>
    <x:xf numFmtId="164" fontId="11" fillId="5" borderId="5" xfId="0" applyNumberFormat="1" applyFont="1" applyFill="1" applyBorder="1" applyAlignment="1">
      <x:alignment horizontal="left" vertical="center" wrapText="1"/>
    </x:xf>
    <x:xf numFmtId="164" fontId="11" fillId="5" borderId="6" xfId="0" applyNumberFormat="1" applyFont="1" applyFill="1" applyBorder="1" applyAlignment="1">
      <x:alignment horizontal="left" vertical="center" wrapText="1"/>
    </x:xf>
    <x:xf numFmtId="164" fontId="0" fillId="5" borderId="2" xfId="0" applyNumberFormat="1" applyFont="1" applyFill="1" applyBorder="1" applyAlignment="1">
      <x:alignment horizontal="general" vertical="bottom" wrapText="1"/>
    </x:xf>
    <x:xf numFmtId="164" fontId="11" fillId="5" borderId="2" xfId="0" applyNumberFormat="1" applyFont="1" applyFill="1" applyBorder="1" applyAlignment="1">
      <x:alignment horizontal="general" vertical="bottom" wrapText="1"/>
    </x:xf>
    <x:xf numFmtId="164" fontId="11" fillId="5" borderId="7" xfId="0" applyNumberFormat="1" applyFont="1" applyFill="1" applyBorder="1" applyAlignment="1">
      <x:alignment horizontal="general" vertical="bottom" wrapText="1"/>
    </x:xf>
    <x:xf numFmtId="164" fontId="11" fillId="5" borderId="8" xfId="0" applyNumberFormat="1" applyFont="1" applyFill="1" applyBorder="1" applyAlignment="1">
      <x:alignment horizontal="general" vertical="bottom" wrapText="1"/>
    </x:xf>
    <x:xf numFmtId="164" fontId="11" fillId="5" borderId="9" xfId="0" applyNumberFormat="1" applyFont="1" applyFill="1" applyBorder="1" applyAlignment="1">
      <x:alignment horizontal="general" vertical="bottom" wrapText="1"/>
    </x:xf>
    <x:xf numFmtId="164" fontId="11" fillId="5" borderId="7" xfId="0" applyNumberFormat="1" applyFont="1" applyFill="1" applyBorder="1" applyAlignment="1">
      <x:alignment horizontal="left" vertical="bottom" wrapText="1"/>
    </x:xf>
    <x:xf numFmtId="164" fontId="11" fillId="5" borderId="8" xfId="0" applyNumberFormat="1" applyFont="1" applyFill="1" applyBorder="1" applyAlignment="1">
      <x:alignment horizontal="left" vertical="bottom" wrapText="1"/>
    </x:xf>
    <x:xf numFmtId="164" fontId="11" fillId="5" borderId="9" xfId="0" applyNumberFormat="1" applyFont="1" applyFill="1" applyBorder="1" applyAlignment="1">
      <x:alignment horizontal="left" vertical="bottom" wrapText="1"/>
    </x:xf>
    <x:xf numFmtId="164" fontId="11" fillId="5" borderId="7" xfId="0" applyNumberFormat="1" applyFont="1" applyFill="1" applyBorder="1" applyAlignment="1">
      <x:alignment horizontal="left" vertical="center" wrapText="1"/>
    </x:xf>
    <x:xf numFmtId="164" fontId="11" fillId="5" borderId="8" xfId="0" applyNumberFormat="1" applyFont="1" applyFill="1" applyBorder="1" applyAlignment="1">
      <x:alignment horizontal="left" vertical="center" wrapText="1"/>
    </x:xf>
    <x:xf numFmtId="164" fontId="11" fillId="5" borderId="9" xfId="0" applyNumberFormat="1" applyFont="1" applyFill="1" applyBorder="1" applyAlignment="1">
      <x:alignment horizontal="left" vertical="center" wrapText="1"/>
    </x:xf>
    <x:xf numFmtId="164" fontId="0" fillId="0" borderId="10" xfId="0" applyNumberFormat="1" applyFont="1" applyFill="1" applyBorder="1" applyAlignment="1">
      <x:alignment horizontal="general" vertical="bottom" wrapText="1"/>
    </x:xf>
    <x:xf numFmtId="164" fontId="0" fillId="0" borderId="11" xfId="0" applyNumberFormat="1" applyFont="1" applyFill="1" applyBorder="1" applyAlignment="1">
      <x:alignment horizontal="general" vertical="bottom" wrapText="1"/>
    </x:xf>
    <x:xf numFmtId="164" fontId="0" fillId="0" borderId="12" xfId="0" applyNumberFormat="1" applyFont="1" applyFill="1" applyBorder="1" applyAlignment="1">
      <x:alignment horizontal="general" vertical="bottom" wrapText="1"/>
    </x:xf>
    <x:xf numFmtId="164" fontId="0" fillId="0" borderId="13" xfId="0" applyNumberFormat="1" applyFont="1" applyFill="1" applyBorder="1" applyAlignment="1">
      <x:alignment horizontal="general" vertical="bottom" wrapText="1"/>
    </x:xf>
    <x:xf numFmtId="164" fontId="0" fillId="0" borderId="14" xfId="0" applyNumberFormat="1" applyFont="1" applyFill="1" applyBorder="1" applyAlignment="1">
      <x:alignment horizontal="general" vertical="bottom" wrapText="1"/>
    </x:xf>
    <x:xf numFmtId="164" fontId="0" fillId="0" borderId="15" xfId="0" applyNumberFormat="1" applyFont="1" applyFill="1" applyBorder="1" applyAlignment="1">
      <x:alignment horizontal="general" vertical="bottom" wrapText="1"/>
    </x:xf>
    <x:xf numFmtId="164" fontId="0" fillId="0" borderId="16" xfId="0" applyNumberFormat="1" applyFont="1" applyFill="1" applyBorder="1" applyAlignment="1">
      <x:alignment horizontal="general" vertical="bottom" wrapText="1"/>
    </x:xf>
    <x:xf numFmtId="164" fontId="0" fillId="0" borderId="17" xfId="0" applyNumberFormat="1" applyFont="1" applyFill="1" applyBorder="1" applyAlignment="1">
      <x:alignment horizontal="general" vertical="bottom" wrapText="1"/>
    </x:xf>
    <x:xf numFmtId="164" fontId="0" fillId="0" borderId="10" xfId="0" applyNumberFormat="1" applyFont="1" applyFill="1" applyBorder="1" applyAlignment="1">
      <x:alignment horizontal="left" vertical="bottom" wrapText="1"/>
    </x:xf>
    <x:xf numFmtId="164" fontId="0" fillId="0" borderId="11" xfId="0" applyNumberFormat="1" applyFont="1" applyFill="1" applyBorder="1" applyAlignment="1">
      <x:alignment horizontal="left" vertical="bottom" wrapText="1"/>
    </x:xf>
    <x:xf numFmtId="164" fontId="0" fillId="0" borderId="12" xfId="0" applyNumberFormat="1" applyFont="1" applyFill="1" applyBorder="1" applyAlignment="1">
      <x:alignment horizontal="left" vertical="bottom" wrapText="1"/>
    </x:xf>
    <x:xf numFmtId="164" fontId="0" fillId="0" borderId="13" xfId="0" applyNumberFormat="1" applyFont="1" applyFill="1" applyBorder="1" applyAlignment="1">
      <x:alignment horizontal="left" vertical="bottom" wrapText="1"/>
    </x:xf>
    <x:xf numFmtId="164" fontId="0" fillId="0" borderId="0" xfId="0" applyNumberFormat="1" applyFont="1" applyFill="1" applyBorder="1" applyAlignment="1">
      <x:alignment horizontal="left" vertical="bottom" wrapText="1"/>
    </x:xf>
    <x:xf numFmtId="164" fontId="0" fillId="0" borderId="14" xfId="0" applyNumberFormat="1" applyFont="1" applyFill="1" applyBorder="1" applyAlignment="1">
      <x:alignment horizontal="left" vertical="bottom" wrapText="1"/>
    </x:xf>
    <x:xf numFmtId="164" fontId="0" fillId="0" borderId="15" xfId="0" applyNumberFormat="1" applyFont="1" applyFill="1" applyBorder="1" applyAlignment="1">
      <x:alignment horizontal="left" vertical="bottom" wrapText="1"/>
    </x:xf>
    <x:xf numFmtId="164" fontId="0" fillId="0" borderId="16" xfId="0" applyNumberFormat="1" applyFont="1" applyFill="1" applyBorder="1" applyAlignment="1">
      <x:alignment horizontal="left" vertical="bottom" wrapText="1"/>
    </x:xf>
    <x:xf numFmtId="164" fontId="0" fillId="0" borderId="17" xfId="0" applyNumberFormat="1" applyFont="1" applyFill="1" applyBorder="1" applyAlignment="1">
      <x:alignment horizontal="left" vertical="bottom" wrapText="1"/>
    </x:xf>
    <x:xf numFmtId="164" fontId="0" fillId="0" borderId="10" xfId="0" applyNumberFormat="1" applyFont="1" applyFill="1" applyBorder="1" applyAlignment="1">
      <x:alignment horizontal="left" vertical="top" wrapText="1"/>
    </x:xf>
    <x:xf numFmtId="164" fontId="0" fillId="0" borderId="11" xfId="0" applyNumberFormat="1" applyFont="1" applyFill="1" applyBorder="1" applyAlignment="1">
      <x:alignment horizontal="left" vertical="top" wrapText="1"/>
    </x:xf>
    <x:xf numFmtId="164" fontId="0" fillId="0" borderId="12" xfId="0" applyNumberFormat="1" applyFont="1" applyFill="1" applyBorder="1" applyAlignment="1">
      <x:alignment horizontal="left" vertical="top" wrapText="1"/>
    </x:xf>
    <x:xf numFmtId="164" fontId="0" fillId="0" borderId="13" xfId="0" applyNumberFormat="1" applyFont="1" applyFill="1" applyBorder="1" applyAlignment="1">
      <x:alignment horizontal="left" vertical="top" wrapText="1"/>
    </x:xf>
    <x:xf numFmtId="164" fontId="0" fillId="0" borderId="0" xfId="0" applyNumberFormat="1" applyFont="1" applyFill="1" applyBorder="1" applyAlignment="1">
      <x:alignment horizontal="left" vertical="top" wrapText="1"/>
    </x:xf>
    <x:xf numFmtId="164" fontId="0" fillId="0" borderId="14" xfId="0" applyNumberFormat="1" applyFont="1" applyFill="1" applyBorder="1" applyAlignment="1">
      <x:alignment horizontal="left" vertical="top" wrapText="1"/>
    </x:xf>
    <x:xf numFmtId="164" fontId="0" fillId="0" borderId="15" xfId="0" applyNumberFormat="1" applyFont="1" applyFill="1" applyBorder="1" applyAlignment="1">
      <x:alignment horizontal="left" vertical="top" wrapText="1"/>
    </x:xf>
    <x:xf numFmtId="164" fontId="0" fillId="0" borderId="16" xfId="0" applyNumberFormat="1" applyFont="1" applyFill="1" applyBorder="1" applyAlignment="1">
      <x:alignment horizontal="left" vertical="top" wrapText="1"/>
    </x:xf>
    <x:xf numFmtId="164" fontId="0" fillId="0" borderId="17" xfId="0" applyNumberFormat="1" applyFont="1" applyFill="1" applyBorder="1" applyAlignment="1">
      <x:alignment horizontal="left" vertical="top" wrapText="1"/>
    </x:xf>
    <x:xf numFmtId="164" fontId="0" fillId="0" borderId="18" xfId="0" applyNumberFormat="1" applyFont="1" applyFill="1" applyBorder="1" applyAlignment="1">
      <x:alignment horizontal="general" vertical="bottom" wrapText="1"/>
    </x:xf>
    <x:xf numFmtId="164" fontId="0" fillId="0" borderId="19" xfId="0" applyNumberFormat="1" applyFont="1" applyFill="1" applyBorder="1" applyAlignment="1">
      <x:alignment horizontal="general" vertical="bottom" wrapText="1"/>
    </x:xf>
    <x:xf numFmtId="164" fontId="0" fillId="0" borderId="20" xfId="0" applyNumberFormat="1" applyFont="1" applyFill="1" applyBorder="1" applyAlignment="1">
      <x:alignment horizontal="general" vertical="bottom" wrapText="1"/>
    </x:xf>
    <x:xf numFmtId="164" fontId="0" fillId="0" borderId="21" xfId="0" applyNumberFormat="1" applyFont="1" applyFill="1" applyBorder="1" applyAlignment="1">
      <x:alignment horizontal="general" vertical="bottom" wrapText="1"/>
    </x:xf>
    <x:xf numFmtId="164" fontId="0" fillId="0" borderId="22" xfId="0" applyNumberFormat="1" applyFont="1" applyFill="1" applyBorder="1" applyAlignment="1">
      <x:alignment horizontal="general" vertical="bottom" wrapText="1"/>
    </x:xf>
    <x:xf numFmtId="164" fontId="0" fillId="0" borderId="23" xfId="0" applyNumberFormat="1" applyFont="1" applyFill="1" applyBorder="1" applyAlignment="1">
      <x:alignment horizontal="general" vertical="bottom" wrapText="1"/>
    </x:xf>
    <x:xf numFmtId="164" fontId="0" fillId="0" borderId="24" xfId="0" applyNumberFormat="1" applyFont="1" applyFill="1" applyBorder="1" applyAlignment="1">
      <x:alignment horizontal="general" vertical="bottom" wrapText="1"/>
    </x:xf>
    <x:xf numFmtId="164" fontId="0" fillId="0" borderId="25" xfId="0" applyNumberFormat="1" applyFont="1" applyFill="1" applyBorder="1" applyAlignment="1">
      <x:alignment horizontal="general" vertical="bottom" wrapText="1"/>
    </x:xf>
    <x:xf numFmtId="164" fontId="0" fillId="0" borderId="18" xfId="0" applyNumberFormat="1" applyFont="1" applyFill="1" applyBorder="1" applyAlignment="1">
      <x:alignment horizontal="left" vertical="bottom" wrapText="1"/>
    </x:xf>
    <x:xf numFmtId="164" fontId="0" fillId="0" borderId="19" xfId="0" applyNumberFormat="1" applyFont="1" applyFill="1" applyBorder="1" applyAlignment="1">
      <x:alignment horizontal="left" vertical="bottom" wrapText="1"/>
    </x:xf>
    <x:xf numFmtId="164" fontId="0" fillId="0" borderId="20" xfId="0" applyNumberFormat="1" applyFont="1" applyFill="1" applyBorder="1" applyAlignment="1">
      <x:alignment horizontal="left" vertical="bottom" wrapText="1"/>
    </x:xf>
    <x:xf numFmtId="164" fontId="0" fillId="0" borderId="21" xfId="0" applyNumberFormat="1" applyFont="1" applyFill="1" applyBorder="1" applyAlignment="1">
      <x:alignment horizontal="left" vertical="bottom" wrapText="1"/>
    </x:xf>
    <x:xf numFmtId="164" fontId="0" fillId="0" borderId="2" xfId="0" applyNumberFormat="1" applyFont="1" applyFill="1" applyBorder="1" applyAlignment="1">
      <x:alignment horizontal="left" vertical="bottom" wrapText="1"/>
    </x:xf>
    <x:xf numFmtId="164" fontId="0" fillId="0" borderId="22" xfId="0" applyNumberFormat="1" applyFont="1" applyFill="1" applyBorder="1" applyAlignment="1">
      <x:alignment horizontal="left" vertical="bottom" wrapText="1"/>
    </x:xf>
    <x:xf numFmtId="164" fontId="0" fillId="0" borderId="23" xfId="0" applyNumberFormat="1" applyFont="1" applyFill="1" applyBorder="1" applyAlignment="1">
      <x:alignment horizontal="left" vertical="bottom" wrapText="1"/>
    </x:xf>
    <x:xf numFmtId="164" fontId="0" fillId="0" borderId="24" xfId="0" applyNumberFormat="1" applyFont="1" applyFill="1" applyBorder="1" applyAlignment="1">
      <x:alignment horizontal="left" vertical="bottom" wrapText="1"/>
    </x:xf>
    <x:xf numFmtId="164" fontId="0" fillId="0" borderId="25" xfId="0" applyNumberFormat="1" applyFont="1" applyFill="1" applyBorder="1" applyAlignment="1">
      <x:alignment horizontal="left" vertical="bottom" wrapText="1"/>
    </x:xf>
    <x:xf numFmtId="164" fontId="0" fillId="0" borderId="18" xfId="0" applyNumberFormat="1" applyFont="1" applyFill="1" applyBorder="1" applyAlignment="1">
      <x:alignment horizontal="left" vertical="top" wrapText="1"/>
    </x:xf>
    <x:xf numFmtId="164" fontId="0" fillId="0" borderId="19" xfId="0" applyNumberFormat="1" applyFont="1" applyFill="1" applyBorder="1" applyAlignment="1">
      <x:alignment horizontal="left" vertical="top" wrapText="1"/>
    </x:xf>
    <x:xf numFmtId="164" fontId="0" fillId="0" borderId="20" xfId="0" applyNumberFormat="1" applyFont="1" applyFill="1" applyBorder="1" applyAlignment="1">
      <x:alignment horizontal="left" vertical="top" wrapText="1"/>
    </x:xf>
    <x:xf numFmtId="164" fontId="0" fillId="0" borderId="21" xfId="0" applyNumberFormat="1" applyFont="1" applyFill="1" applyBorder="1" applyAlignment="1">
      <x:alignment horizontal="left" vertical="top" wrapText="1"/>
    </x:xf>
    <x:xf numFmtId="164" fontId="0" fillId="0" borderId="2" xfId="0" applyNumberFormat="1" applyFont="1" applyFill="1" applyBorder="1" applyAlignment="1">
      <x:alignment horizontal="left" vertical="top" wrapText="1"/>
    </x:xf>
    <x:xf numFmtId="164" fontId="0" fillId="0" borderId="22" xfId="0" applyNumberFormat="1" applyFont="1" applyFill="1" applyBorder="1" applyAlignment="1">
      <x:alignment horizontal="left" vertical="top" wrapText="1"/>
    </x:xf>
    <x:xf numFmtId="164" fontId="0" fillId="0" borderId="23" xfId="0" applyNumberFormat="1" applyFont="1" applyFill="1" applyBorder="1" applyAlignment="1">
      <x:alignment horizontal="left" vertical="top" wrapText="1"/>
    </x:xf>
    <x:xf numFmtId="164" fontId="0" fillId="0" borderId="24" xfId="0" applyNumberFormat="1" applyFont="1" applyFill="1" applyBorder="1" applyAlignment="1">
      <x:alignment horizontal="left" vertical="top" wrapText="1"/>
    </x:xf>
    <x:xf numFmtId="164" fontId="0" fillId="0" borderId="25" xfId="0" applyNumberFormat="1" applyFont="1" applyFill="1" applyBorder="1" applyAlignment="1">
      <x:alignment horizontal="left" vertical="top" wrapText="1"/>
    </x:xf>
    <x:xf numFmtId="164" fontId="0" fillId="6" borderId="13" xfId="0" applyNumberFormat="1" applyFont="1" applyFill="1" applyBorder="1" applyAlignment="1">
      <x:alignment horizontal="left" vertical="top" wrapText="1"/>
    </x:xf>
    <x:xf numFmtId="164" fontId="0" fillId="6" borderId="0" xfId="0" applyNumberFormat="1" applyFont="1" applyFill="1" applyBorder="1" applyAlignment="1">
      <x:alignment horizontal="left" vertical="top" wrapText="1"/>
    </x:xf>
    <x:xf numFmtId="164" fontId="0" fillId="6" borderId="14" xfId="0" applyNumberFormat="1" applyFont="1" applyFill="1" applyBorder="1" applyAlignment="1">
      <x:alignment horizontal="left" vertical="top" wrapText="1"/>
    </x:xf>
    <x:xf numFmtId="164" fontId="0" fillId="6" borderId="21" xfId="0" applyNumberFormat="1" applyFont="1" applyFill="1" applyBorder="1" applyAlignment="1">
      <x:alignment horizontal="left" vertical="top" wrapText="1"/>
    </x:xf>
    <x:xf numFmtId="164" fontId="0" fillId="6" borderId="2" xfId="0" applyNumberFormat="1" applyFont="1" applyFill="1" applyBorder="1" applyAlignment="1">
      <x:alignment horizontal="left" vertical="top" wrapText="1"/>
    </x:xf>
    <x:xf numFmtId="164" fontId="0" fillId="6" borderId="22" xfId="0" applyNumberFormat="1" applyFont="1" applyFill="1" applyBorder="1" applyAlignment="1">
      <x:alignment horizontal="left" vertical="top" wrapText="1"/>
    </x:xf>
    <x:xf numFmtId="164" fontId="0" fillId="6" borderId="15" xfId="0" applyNumberFormat="1" applyFont="1" applyFill="1" applyBorder="1" applyAlignment="1">
      <x:alignment horizontal="left" vertical="top" wrapText="1"/>
    </x:xf>
    <x:xf numFmtId="164" fontId="0" fillId="6" borderId="16" xfId="0" applyNumberFormat="1" applyFont="1" applyFill="1" applyBorder="1" applyAlignment="1">
      <x:alignment horizontal="left" vertical="top" wrapText="1"/>
    </x:xf>
    <x:xf numFmtId="164" fontId="0" fillId="6" borderId="17" xfId="0" applyNumberFormat="1" applyFont="1" applyFill="1" applyBorder="1" applyAlignment="1">
      <x:alignment horizontal="left" vertical="top" wrapText="1"/>
    </x:xf>
    <x:xf numFmtId="164" fontId="0" fillId="6" borderId="23" xfId="0" applyNumberFormat="1" applyFont="1" applyFill="1" applyBorder="1" applyAlignment="1">
      <x:alignment horizontal="left" vertical="top" wrapText="1"/>
    </x:xf>
    <x:xf numFmtId="164" fontId="0" fillId="6" borderId="24" xfId="0" applyNumberFormat="1" applyFont="1" applyFill="1" applyBorder="1" applyAlignment="1">
      <x:alignment horizontal="left" vertical="top" wrapText="1"/>
    </x:xf>
    <x:xf numFmtId="164" fontId="0" fillId="6" borderId="25" xfId="0" applyNumberFormat="1" applyFont="1" applyFill="1" applyBorder="1" applyAlignment="1">
      <x:alignment horizontal="left" vertical="top" wrapText="1"/>
    </x:xf>
  </x:cellXfs>
  <x:cellStyles count="6">
    <x:cellStyle name="Normal" xfId="0"/>
    <x:cellStyle name="Comma" xfId="15"/>
    <x:cellStyle name="Comma [0]" xfId="16"/>
    <x:cellStyle name="Currency" xfId="17"/>
    <x:cellStyle name="Currency [0]" xfId="18"/>
    <x:cellStyle name="Percent" xfId="19"/>
  </x:cellStyles>
  <x:dxfs count="5">
    <x:dxf>
      <x:fill>
        <x:patternFill>
          <x:bgColor rgb="FF1F3B5C"/>
        </x:patternFill>
      </x:fill>
    </x:dxf>
    <x:dxf>
      <x:fill>
        <x:patternFill>
          <x:bgColor rgb="FFF2F5F8"/>
        </x:patternFill>
      </x:fill>
    </x:dxf>
    <x:dxf>
      <x:fill>
        <x:patternFill>
          <x:bgColor rgb="FF000000"/>
        </x:patternFill>
      </x:fill>
    </x:dxf>
    <x:dxf>
      <x:fill>
        <x:patternFill>
          <x:bgColor rgb="FFFFFFFF"/>
        </x:patternFill>
      </x:fill>
    </x:dxf>
    <x:dxf>
      <x:fill>
        <x:patternFill>
          <x:bgColor rgb="FFFFF3CD"/>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993366"/>
      <x:rgbColor rgb="FFFFF3CD"/>
      <x:rgbColor rgb="FFF2F5F8"/>
      <x:rgbColor rgb="FF660066"/>
      <x:rgbColor rgb="FFFF8080"/>
      <x:rgbColor rgb="FF0066CC"/>
      <x:rgbColor rgb="FFC9D2DB"/>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5C6B7A"/>
      <x:rgbColor rgb="FF969696"/>
      <x:rgbColor rgb="FF1F3B5C"/>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39e53ae94ca49e1" /><Relationship Type="http://schemas.openxmlformats.org/officeDocument/2006/relationships/theme" Target="/xl/theme/theme1.xml" Id="R20257e13e4d2425d" /><Relationship Type="http://schemas.openxmlformats.org/officeDocument/2006/relationships/sharedStrings" Target="/xl/sharedStrings.xml" Id="R85001219136048c8" /><Relationship Type="http://schemas.openxmlformats.org/officeDocument/2006/relationships/worksheet" Target="/xl/worksheets/sheet1.xml" Id="R4fb6bcd8c4824ef4" /><Relationship Type="http://schemas.openxmlformats.org/officeDocument/2006/relationships/worksheet" Target="/xl/worksheets/sheet2.xml" Id="R4a8ab906c418403a" /><Relationship Type="http://schemas.openxmlformats.org/officeDocument/2006/relationships/worksheet" Target="/xl/worksheets/sheet3.xml" Id="Rffdb5c6376824895" /><Relationship Type="http://schemas.openxmlformats.org/officeDocument/2006/relationships/worksheet" Target="/xl/worksheets/sheet4.xml" Id="Rc4fe4f8c1d2441ac" /><Relationship Type="http://schemas.openxmlformats.org/officeDocument/2006/relationships/worksheet" Target="/xl/worksheets/sheet5.xml" Id="R47ea69e22a544c0c" /><Relationship Type="http://schemas.openxmlformats.org/officeDocument/2006/relationships/worksheet" Target="/xl/worksheets/sheet6.xml" Id="R2578bb1f50824328" /><Relationship Type="http://schemas.openxmlformats.org/officeDocument/2006/relationships/worksheet" Target="/xl/worksheets/sheet7.xml" Id="R05f0a7cbafb04c71" /><Relationship Type="http://schemas.openxmlformats.org/officeDocument/2006/relationships/worksheet" Target="/xl/worksheets/sheet8.xml" Id="R1271218e60aa40ed" /><Relationship Type="http://schemas.openxmlformats.org/officeDocument/2006/relationships/worksheet" Target="/xl/worksheets/sheet9.xml" Id="Rd84ecb6e3d3142fe" /><Relationship Type="http://schemas.openxmlformats.org/officeDocument/2006/relationships/worksheet" Target="/xl/worksheets/sheet10.xml" Id="R6769e8532b194f35" /><Relationship Type="http://schemas.openxmlformats.org/officeDocument/2006/relationships/worksheet" Target="/xl/worksheets/sheet11.xml" Id="R73be707933be46e3" /><Relationship Type="http://schemas.openxmlformats.org/officeDocument/2006/relationships/worksheet" Target="/xl/worksheets/sheet12.xml" Id="R49a9caac2f14447d" /><Relationship Type="http://schemas.openxmlformats.org/officeDocument/2006/relationships/worksheet" Target="/xl/worksheets/sheet13.xml" Id="Rfd8bdbda4af84464" /><Relationship Type="http://schemas.openxmlformats.org/officeDocument/2006/relationships/worksheet" Target="/xl/worksheets/sheet14.xml" Id="R474693c9039c40c0" /><Relationship Type="http://schemas.openxmlformats.org/officeDocument/2006/relationships/worksheet" Target="/xl/worksheets/sheet15.xml" Id="R519bb2fd2c8141aa" /><Relationship Type="http://schemas.openxmlformats.org/officeDocument/2006/relationships/worksheet" Target="/xl/worksheets/sheet16.xml" Id="Rb8b8ce205a9946a6" /><Relationship Type="http://schemas.openxmlformats.org/officeDocument/2006/relationships/worksheet" Target="/xl/worksheets/sheet17.xml" Id="R6cbe3ca49ffa4865" /><Relationship Type="http://schemas.openxmlformats.org/officeDocument/2006/relationships/worksheet" Target="/xl/worksheets/sheet18.xml" Id="R8ea2245b15be4794" /><Relationship Type="http://schemas.openxmlformats.org/officeDocument/2006/relationships/worksheet" Target="/xl/worksheets/sheet19.xml" Id="R4e007ac8f3984c1f" /><Relationship Type="http://schemas.openxmlformats.org/officeDocument/2006/relationships/worksheet" Target="/xl/worksheets/sheet20.xml" Id="R8eefa77813f94b9b" /><Relationship Type="http://schemas.microsoft.com/office/2017/10/relationships/person" Target="/xl/persons/person.xml" Id="R5eb9c46239584a5a" /></Relationships>
</file>

<file path=xl/persons/person.xml><?xml version="1.0" encoding="utf-8"?>
<xltc:personList xmlns:xltc="http://schemas.microsoft.com/office/spreadsheetml/2018/threadedcomments">
  <xltc:person displayName="Unknown Author" id="{613C5EE8-B49C-5BF0-16C2-6FE3A3569840}"/>
</xltc: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&#65279;<?xml version="1.0" encoding="utf-8"?><Relationships xmlns="http://schemas.openxmlformats.org/package/2006/relationships"><Relationship Type="http://schemas.openxmlformats.org/officeDocument/2006/relationships/comments" Target="/xl/comments1.xml" Id="Rf5dc7a9f8df64259" /><Relationship Type="http://schemas.openxmlformats.org/officeDocument/2006/relationships/vmlDrawing" Target="/xl/drawings/vmldrawing.vml" Id="R3bf5d3c2eec04733" /></Relationships>
</file>

<file path=xl/worksheets/sheet1.xml><?xml version="1.0" encoding="utf-8"?>
<x:worksheet xmlns:x="http://schemas.openxmlformats.org/spreadsheetml/2006/main">
  <x:sheetViews>
    <x:sheetView showGridLines="1" workbookViewId="0"/>
  </x:sheetViews>
  <x:sheetFormatPr defaultColWidth="8.6796875" defaultRowHeight="15"/>
  <x:cols>
    <x:col min="1" max="1" width="30" hidden="0" customWidth="1"/>
    <x:col min="2" max="2" width="110" hidden="0" customWidth="1"/>
  </x:cols>
  <x:sheetData>
    <x:row r="1" ht="18.549999237060547" hidden="0">
      <x:c r="A1" s="1" t="s">
        <x:v>0</x:v>
      </x:c>
      <x:c r="B1" s="2"/>
    </x:row>
    <x:row r="2" ht="15" hidden="0">
      <x:c r="A2" s="3"/>
      <x:c r="B2" s="2"/>
    </x:row>
    <x:row r="3" ht="23.850000381469727" hidden="0">
      <x:c r="A3" s="4" t="s">
        <x:v>1</x:v>
      </x:c>
      <x:c r="B3" s="2" t="s">
        <x:v>2</x:v>
      </x:c>
    </x:row>
    <x:row r="4" ht="15" hidden="0">
      <x:c r="A4" s="4" t="s">
        <x:v>3</x:v>
      </x:c>
      <x:c r="B4" s="2" t="s">
        <x:v>4</x:v>
      </x:c>
    </x:row>
    <x:row r="5" ht="15" hidden="0">
      <x:c r="A5" s="4" t="s">
        <x:v>5</x:v>
      </x:c>
      <x:c r="B5" s="5" t="s">
        <x:v>6</x:v>
      </x:c>
    </x:row>
    <x:row r="6" ht="15" hidden="0">
      <x:c r="A6" s="3"/>
      <x:c r="B6" s="2"/>
    </x:row>
    <x:row r="7" ht="15" hidden="0">
      <x:c r="A7" s="4" t="s">
        <x:v>7</x:v>
      </x:c>
      <x:c r="B7" s="2"/>
    </x:row>
    <x:row r="8" ht="15" hidden="0">
      <x:c r="A8" s="4" t="s">
        <x:v>8</x:v>
      </x:c>
      <x:c r="B8" s="2" t="s">
        <x:v>9</x:v>
      </x:c>
    </x:row>
    <x:row r="9" ht="23.850000381469727" hidden="0">
      <x:c r="A9" s="4" t="s">
        <x:v>10</x:v>
      </x:c>
      <x:c r="B9" s="2" t="s">
        <x:v>11</x:v>
      </x:c>
    </x:row>
    <x:row r="10" ht="23.850000381469727" hidden="0">
      <x:c r="A10" s="4" t="s">
        <x:v>12</x:v>
      </x:c>
      <x:c r="B10" s="2" t="s">
        <x:v>13</x:v>
      </x:c>
    </x:row>
    <x:row r="11" ht="15" hidden="0">
      <x:c r="A11" s="4" t="s">
        <x:v>14</x:v>
      </x:c>
      <x:c r="B11" s="2" t="s">
        <x:v>15</x:v>
      </x:c>
    </x:row>
    <x:row r="12" ht="23.850000381469727" hidden="0">
      <x:c r="A12" s="4" t="s">
        <x:v>16</x:v>
      </x:c>
      <x:c r="B12" s="2" t="inlineStr">
        <x:is>
          <x:t xml:space="preserve">M2 (29 September 2026): RTM columns G to N record M2 evidence, and a cell with no evidence yet holds a controlled status rather than being left blank (#54, CR-003).
M1 baseline: RTM columns H to L and the GitHub Governance evidence column stay empty until M2 and M3. That is intended - they show the traceability structure is ready.</x:t>
        </x:is>
      </x:c>
    </x:row>
    <x:row r="13" ht="15" hidden="0">
      <x:c r="A13" s="3"/>
      <x:c r="B13" s="2"/>
    </x:row>
    <x:row r="14" ht="15" hidden="0">
      <x:c r="A14" s="4" t="s">
        <x:v>17</x:v>
      </x:c>
      <x:c r="B14" s="2"/>
    </x:row>
    <x:row r="15" ht="15" hidden="0">
      <x:c r="A15" s="3" t="s">
        <x:v>18</x:v>
      </x:c>
      <x:c r="B15" s="6" t="n">
        <x:f aca="0">COUNTA('Requirements (FR)'!A3:A200)</x:f>
        <x:v>29</x:v>
      </x:c>
    </x:row>
    <x:row r="16" ht="15" hidden="0">
      <x:c r="A16" s="3" t="s">
        <x:v>19</x:v>
      </x:c>
      <x:c r="B16" s="6" t="n">
        <x:f aca="0">COUNTIF('Requirements (FR)'!D3:D200,"Must")</x:f>
        <x:v>22</x:v>
      </x:c>
    </x:row>
    <x:row r="17" ht="15" hidden="0">
      <x:c r="A17" s="3" t="s">
        <x:v>20</x:v>
      </x:c>
      <x:c r="B17" s="6" t="n">
        <x:f aca="0">COUNTIF('Requirements (FR)'!D3:D200,"Should")</x:f>
        <x:v>6</x:v>
      </x:c>
    </x:row>
    <x:row r="18" ht="15" hidden="0">
      <x:c r="A18" s="3" t="s">
        <x:v>21</x:v>
      </x:c>
      <x:c r="B18" s="6" t="n">
        <x:f aca="0">COUNTIF('Requirements (FR)'!D3:D200,"Could")</x:f>
        <x:v>1</x:v>
      </x:c>
    </x:row>
    <x:row r="19" ht="15" hidden="0">
      <x:c r="A19" s="3" t="s">
        <x:v>22</x:v>
      </x:c>
      <x:c r="B19" s="6" t="n">
        <x:f aca="0">COUNTA('Requirements (NFR)'!A3:A200)</x:f>
        <x:v>13</x:v>
      </x:c>
    </x:row>
    <x:row r="20" ht="15" hidden="0">
      <x:c r="A20" s="3" t="s">
        <x:v>23</x:v>
      </x:c>
      <x:c r="B20" s="6" t="n">
        <x:f aca="0">COUNTA(RTM!A3:A400)</x:f>
        <x:v>42</x:v>
      </x:c>
    </x:row>
    <x:row r="21" ht="15" hidden="0">
      <x:c r="A21" s="3" t="s">
        <x:v>24</x:v>
      </x:c>
      <x:c r="B21" s="6" t="n">
        <x:f aca="0">COUNTIF('Risk Register'!G3:G200,"Critical")</x:f>
        <x:v>2</x:v>
      </x:c>
    </x:row>
    <x:row r="22" ht="15" hidden="0">
      <x:c r="A22" s="3" t="s">
        <x:v>25</x:v>
      </x:c>
      <x:c r="B22" s="6" t="n">
        <x:f aca="0">COUNTIF('Risk Register'!G3:G200,"High")</x:f>
        <x:v>10</x:v>
      </x:c>
    </x:row>
    <x:row r="23" ht="15" hidden="0">
      <x:c r="A23" s="3" t="s">
        <x:v>26</x:v>
      </x:c>
      <x:c r="B23" s="6" t="n">
        <x:f aca="0"/>
        <x:v>18</x:v>
      </x:c>
    </x:row>
    <x:row r="24" ht="15" hidden="0">
      <x:c r="A24" s="3" t="s">
        <x:v>27</x:v>
      </x:c>
      <x:c r="B24" s="6" t="n">
        <x:f aca="0">COUNTIF('Risk Register'!G3:G200,"Low")</x:f>
        <x:v>0</x:v>
      </x:c>
    </x:row>
    <x:row r="25" ht="15" hidden="0">
      <x:c r="A25" s="3" t="s">
        <x:v>28</x:v>
      </x:c>
      <x:c r="B25" s="6" t="n">
        <x:f aca="0">COUNTA('Forward Considerations'!A3:A200)</x:f>
        <x:v>7</x:v>
      </x:c>
    </x:row>
    <x:row r="26" ht="15" hidden="0">
      <x:c r="A26" s="3" t="s">
        <x:v>29</x:v>
      </x:c>
      <x:c r="B26" s="6" t="n">
        <x:f aca="0">COUNTA('Decision Log'!A3:A200)</x:f>
        <x:v>15</x:v>
      </x:c>
    </x:row>
    <x:row r="27" ht="15" hidden="0">
      <x:c r="A27" s="3" t="s">
        <x:v>30</x:v>
      </x:c>
      <x:c r="B27" s="6" t="n">
        <x:f aca="0">COUNTIF('Decision Log'!C3:C200,"DEFERRED to M2")</x:f>
        <x:v>1</x:v>
      </x:c>
    </x:row>
  </x:sheetData>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ColWidth="8.6796875" defaultRowHeight="15"/>
  <x:cols>
    <x:col min="1" max="1" width="9" hidden="0" customWidth="1"/>
    <x:col min="2" max="2" width="30" hidden="0" customWidth="1"/>
    <x:col min="3" max="3" width="34" hidden="0" customWidth="1"/>
    <x:col min="4" max="4" width="46" hidden="0" customWidth="1"/>
    <x:col min="5" max="5" width="11" hidden="0" customWidth="1"/>
    <x:col min="6" max="6" width="10" hidden="0" customWidth="1"/>
    <x:col min="7" max="7" width="60" hidden="0" customWidth="1"/>
  </x:cols>
  <x:sheetData>
    <x:row r="1" ht="25.5" hidden="0" customHeight="1">
      <x:c r="A1" s="7" t="s">
        <x:v>31</x:v>
      </x:c>
      <x:c r="B1" s="7"/>
      <x:c r="C1" s="7"/>
      <x:c r="D1" s="7"/>
      <x:c r="E1" s="7"/>
      <x:c r="F1" s="7"/>
      <x:c r="G1" s="7"/>
    </x:row>
    <x:row r="2" ht="30" hidden="0" customHeight="1">
      <x:c r="A2" s="8" t="s">
        <x:v>32</x:v>
      </x:c>
      <x:c r="B2" s="8" t="s">
        <x:v>33</x:v>
      </x:c>
      <x:c r="C2" s="8" t="s">
        <x:v>34</x:v>
      </x:c>
      <x:c r="D2" s="8" t="s">
        <x:v>35</x:v>
      </x:c>
      <x:c r="E2" s="8" t="s">
        <x:v>36</x:v>
      </x:c>
      <x:c r="F2" s="8" t="s">
        <x:v>37</x:v>
      </x:c>
      <x:c r="G2" s="8" t="s">
        <x:v>38</x:v>
      </x:c>
    </x:row>
    <x:row r="3" ht="35.04999923706055" hidden="0">
      <x:c r="A3" s="9" t="s">
        <x:v>39</x:v>
      </x:c>
      <x:c r="B3" s="9" t="s">
        <x:v>40</x:v>
      </x:c>
      <x:c r="C3" s="9" t="s">
        <x:v>41</x:v>
      </x:c>
      <x:c r="D3" s="9" t="s">
        <x:v>42</x:v>
      </x:c>
      <x:c r="E3" s="9" t="s">
        <x:v>43</x:v>
      </x:c>
      <x:c r="F3" s="9" t="s">
        <x:v>44</x:v>
      </x:c>
      <x:c r="G3" s="9" t="s">
        <x:v>45</x:v>
      </x:c>
    </x:row>
    <x:row r="4" ht="35.04999923706055" hidden="0">
      <x:c r="A4" s="10" t="s">
        <x:v>46</x:v>
      </x:c>
      <x:c r="B4" s="10" t="s">
        <x:v>47</x:v>
      </x:c>
      <x:c r="C4" s="10" t="s">
        <x:v>48</x:v>
      </x:c>
      <x:c r="D4" s="10" t="s">
        <x:v>49</x:v>
      </x:c>
      <x:c r="E4" s="10" t="s">
        <x:v>50</x:v>
      </x:c>
      <x:c r="F4" s="10" t="s">
        <x:v>44</x:v>
      </x:c>
      <x:c r="G4" s="10" t="s">
        <x:v>51</x:v>
      </x:c>
    </x:row>
    <x:row r="5" ht="35.04999923706055" hidden="0">
      <x:c r="A5" s="9" t="s">
        <x:v>52</x:v>
      </x:c>
      <x:c r="B5" s="9" t="s">
        <x:v>53</x:v>
      </x:c>
      <x:c r="C5" s="9" t="s">
        <x:v>54</x:v>
      </x:c>
      <x:c r="D5" s="9" t="s">
        <x:v>55</x:v>
      </x:c>
      <x:c r="E5" s="9" t="s">
        <x:v>44</x:v>
      </x:c>
      <x:c r="F5" s="9" t="s">
        <x:v>44</x:v>
      </x:c>
      <x:c r="G5" s="9" t="s">
        <x:v>56</x:v>
      </x:c>
    </x:row>
    <x:row r="6" ht="35.04999923706055" hidden="0">
      <x:c r="A6" s="10" t="s">
        <x:v>57</x:v>
      </x:c>
      <x:c r="B6" s="10" t="s">
        <x:v>58</x:v>
      </x:c>
      <x:c r="C6" s="10" t="s">
        <x:v>59</x:v>
      </x:c>
      <x:c r="D6" s="10" t="s">
        <x:v>60</x:v>
      </x:c>
      <x:c r="E6" s="10" t="s">
        <x:v>44</x:v>
      </x:c>
      <x:c r="F6" s="10" t="s">
        <x:v>50</x:v>
      </x:c>
      <x:c r="G6" s="10" t="s">
        <x:v>61</x:v>
      </x:c>
    </x:row>
    <x:row r="7" ht="23.850000381469727" hidden="0">
      <x:c r="A7" s="9" t="s">
        <x:v>62</x:v>
      </x:c>
      <x:c r="B7" s="9" t="s">
        <x:v>63</x:v>
      </x:c>
      <x:c r="C7" s="9" t="s">
        <x:v>64</x:v>
      </x:c>
      <x:c r="D7" s="9" t="s">
        <x:v>65</x:v>
      </x:c>
      <x:c r="E7" s="9" t="s">
        <x:v>50</x:v>
      </x:c>
      <x:c r="F7" s="9" t="s">
        <x:v>50</x:v>
      </x:c>
      <x:c r="G7" s="9" t="s">
        <x:v>66</x:v>
      </x:c>
    </x:row>
    <x:row r="8" ht="35.04999923706055" hidden="0">
      <x:c r="A8" s="10" t="s">
        <x:v>67</x:v>
      </x:c>
      <x:c r="B8" s="10" t="s">
        <x:v>68</x:v>
      </x:c>
      <x:c r="C8" s="10" t="s">
        <x:v>69</x:v>
      </x:c>
      <x:c r="D8" s="10" t="s">
        <x:v>70</x:v>
      </x:c>
      <x:c r="E8" s="10" t="s">
        <x:v>44</x:v>
      </x:c>
      <x:c r="F8" s="10" t="s">
        <x:v>50</x:v>
      </x:c>
      <x:c r="G8" s="10" t="s">
        <x:v>71</x:v>
      </x:c>
    </x:row>
    <x:row r="9" ht="35.04999923706055" hidden="0">
      <x:c r="A9" s="9" t="s">
        <x:v>72</x:v>
      </x:c>
      <x:c r="B9" s="9" t="s">
        <x:v>73</x:v>
      </x:c>
      <x:c r="C9" s="9" t="s">
        <x:v>74</x:v>
      </x:c>
      <x:c r="D9" s="9" t="s">
        <x:v>75</x:v>
      </x:c>
      <x:c r="E9" s="9" t="s">
        <x:v>50</x:v>
      </x:c>
      <x:c r="F9" s="9" t="s">
        <x:v>43</x:v>
      </x:c>
      <x:c r="G9" s="9" t="s">
        <x:v>76</x:v>
      </x:c>
    </x:row>
    <x:row r="10" ht="35.04999923706055" hidden="0">
      <x:c r="A10" s="10" t="s">
        <x:v>77</x:v>
      </x:c>
      <x:c r="B10" s="10" t="s">
        <x:v>78</x:v>
      </x:c>
      <x:c r="C10" s="10" t="s">
        <x:v>79</x:v>
      </x:c>
      <x:c r="D10" s="10" t="s">
        <x:v>80</x:v>
      </x:c>
      <x:c r="E10" s="10" t="s">
        <x:v>44</x:v>
      </x:c>
      <x:c r="F10" s="10" t="s">
        <x:v>44</x:v>
      </x:c>
      <x:c r="G10" s="10" t="s">
        <x:v>81</x:v>
      </x:c>
    </x:row>
    <x:row r="11" ht="35.04999923706055" hidden="0">
      <x:c r="A11" s="9" t="s">
        <x:v>82</x:v>
      </x:c>
      <x:c r="B11" s="9" t="s">
        <x:v>83</x:v>
      </x:c>
      <x:c r="C11" s="9" t="s">
        <x:v>84</x:v>
      </x:c>
      <x:c r="D11" s="9" t="s">
        <x:v>85</x:v>
      </x:c>
      <x:c r="E11" s="9" t="s">
        <x:v>44</x:v>
      </x:c>
      <x:c r="F11" s="9" t="s">
        <x:v>44</x:v>
      </x:c>
      <x:c r="G11" s="9" t="s">
        <x:v>86</x:v>
      </x:c>
    </x:row>
  </x:sheetData>
  <x:mergeCells>
    <x:mergeCell ref="A1:G1"/>
  </x:mergeCells>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ColWidth="8.6796875" defaultRowHeight="15"/>
  <x:cols>
    <x:col min="1" max="1" width="11" hidden="0" customWidth="1"/>
    <x:col min="2" max="2" width="13" hidden="0" customWidth="1"/>
    <x:col min="3" max="3" width="62" hidden="0" customWidth="1"/>
    <x:col min="4" max="4" width="22" hidden="0" customWidth="1"/>
    <x:col min="5" max="5" width="78" hidden="0" customWidth="1"/>
  </x:cols>
  <x:sheetData>
    <x:row r="1" ht="25.5" hidden="0" customHeight="1">
      <x:c r="A1" s="7" t="s">
        <x:v>87</x:v>
      </x:c>
      <x:c r="B1" s="7"/>
      <x:c r="C1" s="7"/>
      <x:c r="D1" s="7"/>
      <x:c r="E1" s="7"/>
    </x:row>
    <x:row r="2" ht="30" hidden="0" customHeight="1">
      <x:c r="A2" s="8" t="s">
        <x:v>32</x:v>
      </x:c>
      <x:c r="B2" s="8" t="s">
        <x:v>88</x:v>
      </x:c>
      <x:c r="C2" s="8" t="s">
        <x:v>89</x:v>
      </x:c>
      <x:c r="D2" s="8" t="s">
        <x:v>90</x:v>
      </x:c>
      <x:c r="E2" s="8" t="s">
        <x:v>91</x:v>
      </x:c>
    </x:row>
    <x:row r="3" ht="23.850000381469727" hidden="0">
      <x:c r="A3" s="9" t="s">
        <x:v>92</x:v>
      </x:c>
      <x:c r="B3" s="9" t="s">
        <x:v>93</x:v>
      </x:c>
      <x:c r="C3" s="9" t="s">
        <x:v>94</x:v>
      </x:c>
      <x:c r="D3" s="9" t="s">
        <x:v>95</x:v>
      </x:c>
      <x:c r="E3" s="9"/>
    </x:row>
    <x:row r="4" ht="23.850000381469727" hidden="0">
      <x:c r="A4" s="10" t="s">
        <x:v>96</x:v>
      </x:c>
      <x:c r="B4" s="10" t="s">
        <x:v>93</x:v>
      </x:c>
      <x:c r="C4" s="10" t="s">
        <x:v>97</x:v>
      </x:c>
      <x:c r="D4" s="10" t="s">
        <x:v>98</x:v>
      </x:c>
      <x:c r="E4" s="10"/>
    </x:row>
    <x:row r="5" ht="15" hidden="0">
      <x:c r="A5" s="9" t="s">
        <x:v>99</x:v>
      </x:c>
      <x:c r="B5" s="9" t="s">
        <x:v>93</x:v>
      </x:c>
      <x:c r="C5" s="9" t="s">
        <x:v>100</x:v>
      </x:c>
      <x:c r="D5" s="9" t="s">
        <x:v>101</x:v>
      </x:c>
      <x:c r="E5" s="9"/>
    </x:row>
    <x:row r="6" ht="15" hidden="0">
      <x:c r="A6" s="10" t="s">
        <x:v>102</x:v>
      </x:c>
      <x:c r="B6" s="10" t="s">
        <x:v>93</x:v>
      </x:c>
      <x:c r="C6" s="10" t="s">
        <x:v>103</x:v>
      </x:c>
      <x:c r="D6" s="10" t="s">
        <x:v>104</x:v>
      </x:c>
      <x:c r="E6" s="10"/>
    </x:row>
    <x:row r="7" ht="15" hidden="0">
      <x:c r="A7" s="9" t="s">
        <x:v>105</x:v>
      </x:c>
      <x:c r="B7" s="9" t="s">
        <x:v>93</x:v>
      </x:c>
      <x:c r="C7" s="9" t="s">
        <x:v>106</x:v>
      </x:c>
      <x:c r="D7" s="9" t="s">
        <x:v>107</x:v>
      </x:c>
      <x:c r="E7" s="9"/>
    </x:row>
    <x:row r="8" ht="15" hidden="0">
      <x:c r="A8" s="10" t="s">
        <x:v>108</x:v>
      </x:c>
      <x:c r="B8" s="10" t="s">
        <x:v>93</x:v>
      </x:c>
      <x:c r="C8" s="10" t="s">
        <x:v>109</x:v>
      </x:c>
      <x:c r="D8" s="10" t="s">
        <x:v>110</x:v>
      </x:c>
      <x:c r="E8" s="10"/>
    </x:row>
    <x:row r="9" ht="23.850000381469727" hidden="0">
      <x:c r="A9" s="9" t="s">
        <x:v>111</x:v>
      </x:c>
      <x:c r="B9" s="9" t="s">
        <x:v>93</x:v>
      </x:c>
      <x:c r="C9" s="9" t="s">
        <x:v>112</x:v>
      </x:c>
      <x:c r="D9" s="9" t="s">
        <x:v>113</x:v>
      </x:c>
      <x:c r="E9" s="9"/>
    </x:row>
    <x:row r="10" ht="15" hidden="0">
      <x:c r="A10" s="10" t="s">
        <x:v>114</x:v>
      </x:c>
      <x:c r="B10" s="10" t="s">
        <x:v>93</x:v>
      </x:c>
      <x:c r="C10" s="10" t="s">
        <x:v>115</x:v>
      </x:c>
      <x:c r="D10" s="10" t="s">
        <x:v>116</x:v>
      </x:c>
      <x:c r="E10" s="10"/>
    </x:row>
    <x:row r="11" ht="15" hidden="0">
      <x:c r="A11" s="9" t="s">
        <x:v>117</x:v>
      </x:c>
      <x:c r="B11" s="9" t="s">
        <x:v>93</x:v>
      </x:c>
      <x:c r="C11" s="9" t="s">
        <x:v>118</x:v>
      </x:c>
      <x:c r="D11" s="9" t="s">
        <x:v>119</x:v>
      </x:c>
      <x:c r="E11" s="9"/>
    </x:row>
    <x:row r="12" ht="23.850000381469727" hidden="0">
      <x:c r="A12" s="10" t="s">
        <x:v>120</x:v>
      </x:c>
      <x:c r="B12" s="10" t="s">
        <x:v>93</x:v>
      </x:c>
      <x:c r="C12" s="10" t="s">
        <x:v>121</x:v>
      </x:c>
      <x:c r="D12" s="10" t="s">
        <x:v>122</x:v>
      </x:c>
      <x:c r="E12" s="10"/>
    </x:row>
    <x:row r="13" ht="15" hidden="0">
      <x:c r="A13" s="9" t="s">
        <x:v>123</x:v>
      </x:c>
      <x:c r="B13" s="9" t="s">
        <x:v>93</x:v>
      </x:c>
      <x:c r="C13" s="9" t="s">
        <x:v>124</x:v>
      </x:c>
      <x:c r="D13" s="9" t="s">
        <x:v>125</x:v>
      </x:c>
      <x:c r="E13" s="9"/>
    </x:row>
    <x:row r="14" ht="15" hidden="0">
      <x:c r="A14" s="10" t="s">
        <x:v>126</x:v>
      </x:c>
      <x:c r="B14" s="10" t="s">
        <x:v>93</x:v>
      </x:c>
      <x:c r="C14" s="10" t="s">
        <x:v>127</x:v>
      </x:c>
      <x:c r="D14" s="10" t="s">
        <x:v>128</x:v>
      </x:c>
      <x:c r="E14" s="10"/>
    </x:row>
    <x:row r="15" ht="15" hidden="0">
      <x:c r="A15" s="9" t="s">
        <x:v>129</x:v>
      </x:c>
      <x:c r="B15" s="9" t="s">
        <x:v>93</x:v>
      </x:c>
      <x:c r="C15" s="9" t="s">
        <x:v>130</x:v>
      </x:c>
      <x:c r="D15" s="9" t="s">
        <x:v>131</x:v>
      </x:c>
      <x:c r="E15" s="9"/>
    </x:row>
    <x:row r="16" ht="23.850000381469727" hidden="0">
      <x:c r="A16" s="10" t="s">
        <x:v>132</x:v>
      </x:c>
      <x:c r="B16" s="10" t="s">
        <x:v>133</x:v>
      </x:c>
      <x:c r="C16" s="10" t="s">
        <x:v>134</x:v>
      </x:c>
      <x:c r="D16" s="10"/>
      <x:c r="E16" s="10" t="s">
        <x:v>135</x:v>
      </x:c>
    </x:row>
    <x:row r="17" ht="23.850000381469727" hidden="0">
      <x:c r="A17" s="9" t="s">
        <x:v>136</x:v>
      </x:c>
      <x:c r="B17" s="9" t="s">
        <x:v>133</x:v>
      </x:c>
      <x:c r="C17" s="9" t="s">
        <x:v>137</x:v>
      </x:c>
      <x:c r="D17" s="9"/>
      <x:c r="E17" s="9" t="s">
        <x:v>138</x:v>
      </x:c>
    </x:row>
    <x:row r="18" ht="23.850000381469727" hidden="0">
      <x:c r="A18" s="10" t="s">
        <x:v>139</x:v>
      </x:c>
      <x:c r="B18" s="10" t="s">
        <x:v>133</x:v>
      </x:c>
      <x:c r="C18" s="10" t="s">
        <x:v>140</x:v>
      </x:c>
      <x:c r="D18" s="10"/>
      <x:c r="E18" s="10" t="s">
        <x:v>141</x:v>
      </x:c>
    </x:row>
    <x:row r="19" ht="23.850000381469727" hidden="0">
      <x:c r="A19" s="9" t="s">
        <x:v>142</x:v>
      </x:c>
      <x:c r="B19" s="9" t="s">
        <x:v>133</x:v>
      </x:c>
      <x:c r="C19" s="9" t="s">
        <x:v>143</x:v>
      </x:c>
      <x:c r="D19" s="9"/>
      <x:c r="E19" s="9" t="s">
        <x:v>144</x:v>
      </x:c>
    </x:row>
    <x:row r="20" ht="23.850000381469727" hidden="0">
      <x:c r="A20" s="10" t="s">
        <x:v>145</x:v>
      </x:c>
      <x:c r="B20" s="10" t="s">
        <x:v>133</x:v>
      </x:c>
      <x:c r="C20" s="10" t="s">
        <x:v>146</x:v>
      </x:c>
      <x:c r="D20" s="10"/>
      <x:c r="E20" s="10" t="s">
        <x:v>147</x:v>
      </x:c>
    </x:row>
    <x:row r="21" ht="15" hidden="0">
      <x:c r="A21" s="9" t="s">
        <x:v>148</x:v>
      </x:c>
      <x:c r="B21" s="9" t="s">
        <x:v>133</x:v>
      </x:c>
      <x:c r="C21" s="9" t="s">
        <x:v>149</x:v>
      </x:c>
      <x:c r="D21" s="9"/>
      <x:c r="E21" s="9" t="s">
        <x:v>150</x:v>
      </x:c>
    </x:row>
    <x:row r="22" ht="46.25" hidden="0">
      <x:c r="A22" s="10" t="s">
        <x:v>151</x:v>
      </x:c>
      <x:c r="B22" s="10" t="s">
        <x:v>152</x:v>
      </x:c>
      <x:c r="C22" s="10" t="s">
        <x:v>153</x:v>
      </x:c>
      <x:c r="D22" s="10"/>
      <x:c r="E22" s="10" t="s">
        <x:v>154</x:v>
      </x:c>
    </x:row>
    <x:row r="23" ht="23.850000381469727" hidden="0">
      <x:c r="A23" s="9" t="s">
        <x:v>155</x:v>
      </x:c>
      <x:c r="B23" s="9" t="s">
        <x:v>152</x:v>
      </x:c>
      <x:c r="C23" s="9" t="s">
        <x:v>156</x:v>
      </x:c>
      <x:c r="D23" s="9"/>
      <x:c r="E23" s="9" t="s">
        <x:v>157</x:v>
      </x:c>
    </x:row>
    <x:row r="24" ht="46.25" hidden="0">
      <x:c r="A24" s="10" t="s">
        <x:v>158</x:v>
      </x:c>
      <x:c r="B24" s="10" t="s">
        <x:v>152</x:v>
      </x:c>
      <x:c r="C24" s="10" t="s">
        <x:v>159</x:v>
      </x:c>
      <x:c r="D24" s="10"/>
      <x:c r="E24" s="10" t="s">
        <x:v>160</x:v>
      </x:c>
    </x:row>
    <x:row r="25" ht="35.04999923706055" hidden="0">
      <x:c r="A25" s="9" t="s">
        <x:v>161</x:v>
      </x:c>
      <x:c r="B25" s="9" t="s">
        <x:v>152</x:v>
      </x:c>
      <x:c r="C25" s="9" t="s">
        <x:v>162</x:v>
      </x:c>
      <x:c r="D25" s="9"/>
      <x:c r="E25" s="9" t="s">
        <x:v>163</x:v>
      </x:c>
    </x:row>
    <x:row r="26" ht="35.04999923706055" hidden="0">
      <x:c r="A26" s="10" t="s">
        <x:v>164</x:v>
      </x:c>
      <x:c r="B26" s="10" t="s">
        <x:v>152</x:v>
      </x:c>
      <x:c r="C26" s="10" t="s">
        <x:v>165</x:v>
      </x:c>
      <x:c r="D26" s="10"/>
      <x:c r="E26" s="10" t="s">
        <x:v>166</x:v>
      </x:c>
    </x:row>
    <x:row r="27" ht="23.850000381469727" hidden="0">
      <x:c r="A27" s="9" t="s">
        <x:v>167</x:v>
      </x:c>
      <x:c r="B27" s="9" t="s">
        <x:v>152</x:v>
      </x:c>
      <x:c r="C27" s="9" t="s">
        <x:v>168</x:v>
      </x:c>
      <x:c r="D27" s="9"/>
      <x:c r="E27" s="9" t="s">
        <x:v>169</x:v>
      </x:c>
    </x:row>
  </x:sheetData>
  <x:mergeCells>
    <x:mergeCell ref="A1:E1"/>
  </x:mergeCells>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ColWidth="8.6796875" defaultRowHeight="15"/>
  <x:cols>
    <x:col min="1" max="1" width="10" hidden="0" customWidth="1"/>
    <x:col min="2" max="2" width="66" hidden="0" customWidth="1"/>
    <x:col min="3" max="3" width="16" hidden="0" customWidth="1"/>
    <x:col min="4" max="4" width="10" hidden="0" customWidth="1"/>
    <x:col min="5" max="5" width="86" hidden="0" customWidth="1"/>
    <x:col min="6" max="6" width="12" hidden="0" customWidth="1"/>
  </x:cols>
  <x:sheetData>
    <x:row r="1" ht="25.5" hidden="0" customHeight="1">
      <x:c r="A1" s="7" t="s">
        <x:v>170</x:v>
      </x:c>
      <x:c r="B1" s="7"/>
      <x:c r="C1" s="7"/>
      <x:c r="D1" s="7"/>
      <x:c r="E1" s="7"/>
      <x:c r="F1" s="7"/>
    </x:row>
    <x:row r="2" ht="30" hidden="0" customHeight="1">
      <x:c r="A2" s="8" t="s">
        <x:v>32</x:v>
      </x:c>
      <x:c r="B2" s="8" t="s">
        <x:v>171</x:v>
      </x:c>
      <x:c r="C2" s="8" t="s">
        <x:v>172</x:v>
      </x:c>
      <x:c r="D2" s="8" t="s">
        <x:v>173</x:v>
      </x:c>
      <x:c r="E2" s="8" t="s">
        <x:v>174</x:v>
      </x:c>
      <x:c r="F2" s="8" t="s">
        <x:v>175</x:v>
      </x:c>
    </x:row>
    <x:row r="3" ht="46.25" hidden="0">
      <x:c r="A3" s="9" t="s">
        <x:v>176</x:v>
      </x:c>
      <x:c r="B3" s="9" t="s">
        <x:v>177</x:v>
      </x:c>
      <x:c r="C3" s="9" t="s">
        <x:v>178</x:v>
      </x:c>
      <x:c r="D3" s="9" t="s">
        <x:v>179</x:v>
      </x:c>
      <x:c r="E3" s="9" t="s">
        <x:v>180</x:v>
      </x:c>
      <x:c r="F3" s="9" t="s">
        <x:v>181</x:v>
      </x:c>
    </x:row>
    <x:row r="4" ht="35.04999923706055" hidden="0">
      <x:c r="A4" s="10" t="s">
        <x:v>182</x:v>
      </x:c>
      <x:c r="B4" s="10" t="s">
        <x:v>183</x:v>
      </x:c>
      <x:c r="C4" s="10" t="s">
        <x:v>184</x:v>
      </x:c>
      <x:c r="D4" s="10" t="s">
        <x:v>179</x:v>
      </x:c>
      <x:c r="E4" s="10" t="s">
        <x:v>185</x:v>
      </x:c>
      <x:c r="F4" s="10" t="s">
        <x:v>181</x:v>
      </x:c>
    </x:row>
    <x:row r="5" ht="23.850000381469727" hidden="0">
      <x:c r="A5" s="9" t="s">
        <x:v>186</x:v>
      </x:c>
      <x:c r="B5" s="9" t="s">
        <x:v>187</x:v>
      </x:c>
      <x:c r="C5" s="9" t="s">
        <x:v>62</x:v>
      </x:c>
      <x:c r="D5" s="9" t="s">
        <x:v>179</x:v>
      </x:c>
      <x:c r="E5" s="9" t="s">
        <x:v>188</x:v>
      </x:c>
      <x:c r="F5" s="9" t="s">
        <x:v>181</x:v>
      </x:c>
    </x:row>
    <x:row r="6" ht="23.850000381469727" hidden="0">
      <x:c r="A6" s="10" t="s">
        <x:v>189</x:v>
      </x:c>
      <x:c r="B6" s="10" t="s">
        <x:v>190</x:v>
      </x:c>
      <x:c r="C6" s="10" t="s">
        <x:v>39</x:v>
      </x:c>
      <x:c r="D6" s="10" t="s">
        <x:v>191</x:v>
      </x:c>
      <x:c r="E6" s="10" t="s">
        <x:v>192</x:v>
      </x:c>
      <x:c r="F6" s="10" t="s">
        <x:v>181</x:v>
      </x:c>
    </x:row>
    <x:row r="7" ht="35.04999923706055" hidden="0">
      <x:c r="A7" s="9" t="s">
        <x:v>193</x:v>
      </x:c>
      <x:c r="B7" s="9" t="s">
        <x:v>194</x:v>
      </x:c>
      <x:c r="C7" s="9" t="s">
        <x:v>39</x:v>
      </x:c>
      <x:c r="D7" s="9" t="s">
        <x:v>179</x:v>
      </x:c>
      <x:c r="E7" s="9" t="s">
        <x:v>195</x:v>
      </x:c>
      <x:c r="F7" s="9" t="s">
        <x:v>181</x:v>
      </x:c>
    </x:row>
    <x:row r="8" ht="35.04999923706055" hidden="0">
      <x:c r="A8" s="10" t="s">
        <x:v>196</x:v>
      </x:c>
      <x:c r="B8" s="10" t="s">
        <x:v>197</x:v>
      </x:c>
      <x:c r="C8" s="10" t="s">
        <x:v>198</x:v>
      </x:c>
      <x:c r="D8" s="10" t="s">
        <x:v>179</x:v>
      </x:c>
      <x:c r="E8" s="10" t="s">
        <x:v>199</x:v>
      </x:c>
      <x:c r="F8" s="10" t="s">
        <x:v>181</x:v>
      </x:c>
    </x:row>
    <x:row r="9" ht="35.04999923706055" hidden="0">
      <x:c r="A9" s="9" t="s">
        <x:v>200</x:v>
      </x:c>
      <x:c r="B9" s="9" t="s">
        <x:v>201</x:v>
      </x:c>
      <x:c r="C9" s="9" t="s">
        <x:v>39</x:v>
      </x:c>
      <x:c r="D9" s="9" t="s">
        <x:v>179</x:v>
      </x:c>
      <x:c r="E9" s="9" t="s">
        <x:v>202</x:v>
      </x:c>
      <x:c r="F9" s="9" t="s">
        <x:v>181</x:v>
      </x:c>
    </x:row>
    <x:row r="10" ht="35.04999923706055" hidden="0">
      <x:c r="A10" s="10" t="s">
        <x:v>101</x:v>
      </x:c>
      <x:c r="B10" s="10" t="s">
        <x:v>203</x:v>
      </x:c>
      <x:c r="C10" s="10" t="s">
        <x:v>204</x:v>
      </x:c>
      <x:c r="D10" s="10" t="s">
        <x:v>179</x:v>
      </x:c>
      <x:c r="E10" s="10" t="s">
        <x:v>205</x:v>
      </x:c>
      <x:c r="F10" s="10" t="s">
        <x:v>181</x:v>
      </x:c>
    </x:row>
    <x:row r="11" ht="23.850000381469727" hidden="0">
      <x:c r="A11" s="9" t="s">
        <x:v>206</x:v>
      </x:c>
      <x:c r="B11" s="9" t="s">
        <x:v>207</x:v>
      </x:c>
      <x:c r="C11" s="9" t="s">
        <x:v>39</x:v>
      </x:c>
      <x:c r="D11" s="9" t="s">
        <x:v>179</x:v>
      </x:c>
      <x:c r="E11" s="9" t="s">
        <x:v>208</x:v>
      </x:c>
      <x:c r="F11" s="9" t="s">
        <x:v>181</x:v>
      </x:c>
    </x:row>
    <x:row r="12" ht="23.850000381469727" hidden="0">
      <x:c r="A12" s="10" t="s">
        <x:v>209</x:v>
      </x:c>
      <x:c r="B12" s="10" t="s">
        <x:v>210</x:v>
      </x:c>
      <x:c r="C12" s="10" t="s">
        <x:v>39</x:v>
      </x:c>
      <x:c r="D12" s="10" t="s">
        <x:v>179</x:v>
      </x:c>
      <x:c r="E12" s="10" t="s">
        <x:v>211</x:v>
      </x:c>
      <x:c r="F12" s="10" t="s">
        <x:v>181</x:v>
      </x:c>
    </x:row>
    <x:row r="13" ht="35.04999923706055" hidden="0">
      <x:c r="A13" s="9" t="s">
        <x:v>212</x:v>
      </x:c>
      <x:c r="B13" s="9" t="s">
        <x:v>213</x:v>
      </x:c>
      <x:c r="C13" s="9" t="s">
        <x:v>214</x:v>
      </x:c>
      <x:c r="D13" s="9" t="s">
        <x:v>179</x:v>
      </x:c>
      <x:c r="E13" s="9" t="s">
        <x:v>215</x:v>
      </x:c>
      <x:c r="F13" s="9" t="s">
        <x:v>181</x:v>
      </x:c>
    </x:row>
    <x:row r="14" ht="35.04999923706055" hidden="0">
      <x:c r="A14" s="10" t="s">
        <x:v>216</x:v>
      </x:c>
      <x:c r="B14" s="10" t="s">
        <x:v>217</x:v>
      </x:c>
      <x:c r="C14" s="10" t="s">
        <x:v>218</x:v>
      </x:c>
      <x:c r="D14" s="10" t="s">
        <x:v>179</x:v>
      </x:c>
      <x:c r="E14" s="10" t="s">
        <x:v>219</x:v>
      </x:c>
      <x:c r="F14" s="10" t="s">
        <x:v>181</x:v>
      </x:c>
    </x:row>
    <x:row r="15" ht="35.04999923706055" hidden="0">
      <x:c r="A15" s="9" t="s">
        <x:v>220</x:v>
      </x:c>
      <x:c r="B15" s="9" t="s">
        <x:v>221</x:v>
      </x:c>
      <x:c r="C15" s="9" t="s">
        <x:v>222</x:v>
      </x:c>
      <x:c r="D15" s="9" t="s">
        <x:v>179</x:v>
      </x:c>
      <x:c r="E15" s="9" t="s">
        <x:v>223</x:v>
      </x:c>
      <x:c r="F15" s="9" t="s">
        <x:v>181</x:v>
      </x:c>
    </x:row>
    <x:row r="16" ht="35.04999923706055" hidden="0">
      <x:c r="A16" s="10" t="s">
        <x:v>224</x:v>
      </x:c>
      <x:c r="B16" s="10" t="s">
        <x:v>225</x:v>
      </x:c>
      <x:c r="C16" s="10" t="s">
        <x:v>222</x:v>
      </x:c>
      <x:c r="D16" s="10" t="s">
        <x:v>179</x:v>
      </x:c>
      <x:c r="E16" s="10" t="s">
        <x:v>226</x:v>
      </x:c>
      <x:c r="F16" s="10" t="s">
        <x:v>181</x:v>
      </x:c>
    </x:row>
    <x:row r="17" ht="46.25" hidden="0">
      <x:c r="A17" s="9" t="s">
        <x:v>110</x:v>
      </x:c>
      <x:c r="B17" s="9" t="s">
        <x:v>227</x:v>
      </x:c>
      <x:c r="C17" s="9" t="s">
        <x:v>52</x:v>
      </x:c>
      <x:c r="D17" s="9" t="s">
        <x:v>179</x:v>
      </x:c>
      <x:c r="E17" s="9" t="s">
        <x:v>228</x:v>
      </x:c>
      <x:c r="F17" s="9" t="s">
        <x:v>181</x:v>
      </x:c>
    </x:row>
    <x:row r="18" ht="35.04999923706055" hidden="0">
      <x:c r="A18" s="10" t="s">
        <x:v>229</x:v>
      </x:c>
      <x:c r="B18" s="10" t="s">
        <x:v>230</x:v>
      </x:c>
      <x:c r="C18" s="10" t="s">
        <x:v>231</x:v>
      </x:c>
      <x:c r="D18" s="10" t="s">
        <x:v>179</x:v>
      </x:c>
      <x:c r="E18" s="10" t="s">
        <x:v>232</x:v>
      </x:c>
      <x:c r="F18" s="10" t="s">
        <x:v>181</x:v>
      </x:c>
    </x:row>
    <x:row r="19" ht="23.850000381469727" hidden="0">
      <x:c r="A19" s="9" t="s">
        <x:v>116</x:v>
      </x:c>
      <x:c r="B19" s="9" t="s">
        <x:v>233</x:v>
      </x:c>
      <x:c r="C19" s="9" t="s">
        <x:v>46</x:v>
      </x:c>
      <x:c r="D19" s="9" t="s">
        <x:v>179</x:v>
      </x:c>
      <x:c r="E19" s="9" t="s">
        <x:v>234</x:v>
      </x:c>
      <x:c r="F19" s="9" t="s">
        <x:v>181</x:v>
      </x:c>
    </x:row>
    <x:row r="20" ht="23.850000381469727" hidden="0">
      <x:c r="A20" s="10" t="s">
        <x:v>235</x:v>
      </x:c>
      <x:c r="B20" s="10" t="s">
        <x:v>236</x:v>
      </x:c>
      <x:c r="C20" s="10" t="s">
        <x:v>231</x:v>
      </x:c>
      <x:c r="D20" s="10" t="s">
        <x:v>179</x:v>
      </x:c>
      <x:c r="E20" s="10" t="s">
        <x:v>237</x:v>
      </x:c>
      <x:c r="F20" s="10" t="s">
        <x:v>181</x:v>
      </x:c>
    </x:row>
    <x:row r="21" ht="23.850000381469727" hidden="0">
      <x:c r="A21" s="9" t="s">
        <x:v>238</x:v>
      </x:c>
      <x:c r="B21" s="9" t="s">
        <x:v>239</x:v>
      </x:c>
      <x:c r="C21" s="9" t="s">
        <x:v>52</x:v>
      </x:c>
      <x:c r="D21" s="9" t="s">
        <x:v>191</x:v>
      </x:c>
      <x:c r="E21" s="9" t="s">
        <x:v>240</x:v>
      </x:c>
      <x:c r="F21" s="9" t="s">
        <x:v>181</x:v>
      </x:c>
    </x:row>
    <x:row r="22" ht="23.850000381469727" hidden="0">
      <x:c r="A22" s="10" t="s">
        <x:v>241</x:v>
      </x:c>
      <x:c r="B22" s="10" t="s">
        <x:v>242</x:v>
      </x:c>
      <x:c r="C22" s="10" t="s">
        <x:v>243</x:v>
      </x:c>
      <x:c r="D22" s="10" t="s">
        <x:v>191</x:v>
      </x:c>
      <x:c r="E22" s="10" t="s">
        <x:v>244</x:v>
      </x:c>
      <x:c r="F22" s="10" t="s">
        <x:v>181</x:v>
      </x:c>
    </x:row>
    <x:row r="23" ht="35.04999923706055" hidden="0">
      <x:c r="A23" s="9" t="s">
        <x:v>119</x:v>
      </x:c>
      <x:c r="B23" s="9" t="s">
        <x:v>245</x:v>
      </x:c>
      <x:c r="C23" s="9" t="s">
        <x:v>204</x:v>
      </x:c>
      <x:c r="D23" s="9" t="s">
        <x:v>179</x:v>
      </x:c>
      <x:c r="E23" s="9" t="s">
        <x:v>246</x:v>
      </x:c>
      <x:c r="F23" s="9" t="s">
        <x:v>181</x:v>
      </x:c>
    </x:row>
    <x:row r="24" ht="23.850000381469727" hidden="0">
      <x:c r="A24" s="10" t="s">
        <x:v>247</x:v>
      </x:c>
      <x:c r="B24" s="10" t="s">
        <x:v>248</x:v>
      </x:c>
      <x:c r="C24" s="10" t="s">
        <x:v>57</x:v>
      </x:c>
      <x:c r="D24" s="10" t="s">
        <x:v>179</x:v>
      </x:c>
      <x:c r="E24" s="10" t="s">
        <x:v>249</x:v>
      </x:c>
      <x:c r="F24" s="10" t="s">
        <x:v>181</x:v>
      </x:c>
    </x:row>
    <x:row r="25" ht="23.850000381469727" hidden="0">
      <x:c r="A25" s="9" t="s">
        <x:v>250</x:v>
      </x:c>
      <x:c r="B25" s="9" t="s">
        <x:v>251</x:v>
      </x:c>
      <x:c r="C25" s="9" t="s">
        <x:v>57</x:v>
      </x:c>
      <x:c r="D25" s="9" t="s">
        <x:v>191</x:v>
      </x:c>
      <x:c r="E25" s="9" t="s">
        <x:v>252</x:v>
      </x:c>
      <x:c r="F25" s="9" t="s">
        <x:v>181</x:v>
      </x:c>
    </x:row>
    <x:row r="26" ht="23.850000381469727" hidden="0">
      <x:c r="A26" s="10" t="s">
        <x:v>253</x:v>
      </x:c>
      <x:c r="B26" s="10" t="s">
        <x:v>254</x:v>
      </x:c>
      <x:c r="C26" s="10" t="s">
        <x:v>231</x:v>
      </x:c>
      <x:c r="D26" s="10" t="s">
        <x:v>191</x:v>
      </x:c>
      <x:c r="E26" s="10" t="s">
        <x:v>255</x:v>
      </x:c>
      <x:c r="F26" s="10" t="s">
        <x:v>181</x:v>
      </x:c>
    </x:row>
    <x:row r="27" ht="23.850000381469727" hidden="0">
      <x:c r="A27" s="9" t="s">
        <x:v>256</x:v>
      </x:c>
      <x:c r="B27" s="9" t="s">
        <x:v>257</x:v>
      </x:c>
      <x:c r="C27" s="9" t="s">
        <x:v>258</x:v>
      </x:c>
      <x:c r="D27" s="9" t="s">
        <x:v>179</x:v>
      </x:c>
      <x:c r="E27" s="9" t="s">
        <x:v>259</x:v>
      </x:c>
      <x:c r="F27" s="9" t="s">
        <x:v>181</x:v>
      </x:c>
    </x:row>
    <x:row r="28" ht="23.850000381469727" hidden="0">
      <x:c r="A28" s="10" t="s">
        <x:v>260</x:v>
      </x:c>
      <x:c r="B28" s="10" t="s">
        <x:v>261</x:v>
      </x:c>
      <x:c r="C28" s="10" t="s">
        <x:v>258</x:v>
      </x:c>
      <x:c r="D28" s="10" t="s">
        <x:v>179</x:v>
      </x:c>
      <x:c r="E28" s="10" t="s">
        <x:v>262</x:v>
      </x:c>
      <x:c r="F28" s="10" t="s">
        <x:v>181</x:v>
      </x:c>
    </x:row>
    <x:row r="29" ht="23.850000381469727" hidden="0">
      <x:c r="A29" s="9" t="s">
        <x:v>263</x:v>
      </x:c>
      <x:c r="B29" s="9" t="s">
        <x:v>264</x:v>
      </x:c>
      <x:c r="C29" s="9" t="s">
        <x:v>62</x:v>
      </x:c>
      <x:c r="D29" s="9" t="s">
        <x:v>191</x:v>
      </x:c>
      <x:c r="E29" s="9" t="s">
        <x:v>265</x:v>
      </x:c>
      <x:c r="F29" s="9" t="s">
        <x:v>181</x:v>
      </x:c>
    </x:row>
    <x:row r="30" ht="35.04999923706055" hidden="0">
      <x:c r="A30" s="10" t="s">
        <x:v>266</x:v>
      </x:c>
      <x:c r="B30" s="10" t="s">
        <x:v>267</x:v>
      </x:c>
      <x:c r="C30" s="10" t="s">
        <x:v>62</x:v>
      </x:c>
      <x:c r="D30" s="10" t="s">
        <x:v>268</x:v>
      </x:c>
      <x:c r="E30" s="10" t="s">
        <x:v>269</x:v>
      </x:c>
      <x:c r="F30" s="10" t="s">
        <x:v>181</x:v>
      </x:c>
    </x:row>
    <x:row r="31" ht="23.850000381469727" hidden="0">
      <x:c r="A31" s="9" t="s">
        <x:v>270</x:v>
      </x:c>
      <x:c r="B31" s="9" t="s">
        <x:v>271</x:v>
      </x:c>
      <x:c r="C31" s="9" t="s">
        <x:v>39</x:v>
      </x:c>
      <x:c r="D31" s="9" t="s">
        <x:v>179</x:v>
      </x:c>
      <x:c r="E31" s="9" t="s">
        <x:v>272</x:v>
      </x:c>
      <x:c r="F31" s="9" t="s">
        <x:v>181</x:v>
      </x:c>
    </x:row>
  </x:sheetData>
  <x:mergeCells>
    <x:mergeCell ref="A1:F1"/>
  </x:mergeCells>
  <x:pageMargins left="0.7" right="0.7" top="0.75" bottom="0.75" header="0.3" footer="0.3"/>
</x:worksheet>
</file>

<file path=xl/worksheets/sheet5.xml><?xml version="1.0" encoding="utf-8"?>
<x:worksheet xmlns:x="http://schemas.openxmlformats.org/spreadsheetml/2006/main">
  <x:sheetViews>
    <x:sheetView showGridLines="1" workbookViewId="0"/>
  </x:sheetViews>
  <x:sheetFormatPr defaultColWidth="8.6796875" defaultRowHeight="15"/>
  <x:cols>
    <x:col min="1" max="1" width="10" hidden="0" customWidth="1"/>
    <x:col min="2" max="2" width="26" hidden="0" customWidth="1"/>
    <x:col min="3" max="4" width="52" hidden="0" customWidth="1"/>
    <x:col min="5" max="5" width="66" hidden="0" customWidth="1"/>
    <x:col min="6" max="6" width="14" hidden="0" customWidth="1"/>
    <x:col min="7" max="7" width="10" hidden="0" customWidth="1"/>
  </x:cols>
  <x:sheetData>
    <x:row r="1" ht="25.5" hidden="0" customHeight="1">
      <x:c r="A1" s="7" t="s">
        <x:v>273</x:v>
      </x:c>
      <x:c r="B1" s="7"/>
      <x:c r="C1" s="7"/>
      <x:c r="D1" s="7"/>
      <x:c r="E1" s="7"/>
      <x:c r="F1" s="7"/>
      <x:c r="G1" s="7"/>
    </x:row>
    <x:row r="2" ht="30" hidden="0" customHeight="1">
      <x:c r="A2" s="8" t="s">
        <x:v>32</x:v>
      </x:c>
      <x:c r="B2" s="8" t="s">
        <x:v>274</x:v>
      </x:c>
      <x:c r="C2" s="8" t="s">
        <x:v>171</x:v>
      </x:c>
      <x:c r="D2" s="8" t="s">
        <x:v>275</x:v>
      </x:c>
      <x:c r="E2" s="8" t="s">
        <x:v>276</x:v>
      </x:c>
      <x:c r="F2" s="8" t="s">
        <x:v>172</x:v>
      </x:c>
      <x:c r="G2" s="8" t="s">
        <x:v>173</x:v>
      </x:c>
    </x:row>
    <x:row r="3" ht="23.850000381469727" hidden="0">
      <x:c r="A3" s="9" t="s">
        <x:v>277</x:v>
      </x:c>
      <x:c r="B3" s="9" t="s">
        <x:v>278</x:v>
      </x:c>
      <x:c r="C3" s="9" t="s">
        <x:v>279</x:v>
      </x:c>
      <x:c r="D3" s="9" t="s">
        <x:v>280</x:v>
      </x:c>
      <x:c r="E3" s="9" t="s">
        <x:v>281</x:v>
      </x:c>
      <x:c r="F3" s="9" t="s">
        <x:v>46</x:v>
      </x:c>
      <x:c r="G3" s="9" t="s">
        <x:v>179</x:v>
      </x:c>
    </x:row>
    <x:row r="4" ht="23.850000381469727" hidden="0">
      <x:c r="A4" s="10" t="s">
        <x:v>282</x:v>
      </x:c>
      <x:c r="B4" s="10" t="s">
        <x:v>278</x:v>
      </x:c>
      <x:c r="C4" s="10" t="s">
        <x:v>283</x:v>
      </x:c>
      <x:c r="D4" s="10" t="s">
        <x:v>284</x:v>
      </x:c>
      <x:c r="E4" s="10" t="s">
        <x:v>285</x:v>
      </x:c>
      <x:c r="F4" s="10" t="s">
        <x:v>39</x:v>
      </x:c>
      <x:c r="G4" s="10" t="s">
        <x:v>179</x:v>
      </x:c>
    </x:row>
    <x:row r="5" ht="35.04999923706055" hidden="0">
      <x:c r="A5" s="9" t="s">
        <x:v>286</x:v>
      </x:c>
      <x:c r="B5" s="9" t="s">
        <x:v>287</x:v>
      </x:c>
      <x:c r="C5" s="9" t="s">
        <x:v>288</x:v>
      </x:c>
      <x:c r="D5" s="9" t="s">
        <x:v>289</x:v>
      </x:c>
      <x:c r="E5" s="9" t="s">
        <x:v>290</x:v>
      </x:c>
      <x:c r="F5" s="9" t="s">
        <x:v>67</x:v>
      </x:c>
      <x:c r="G5" s="9" t="s">
        <x:v>191</x:v>
      </x:c>
    </x:row>
    <x:row r="6" ht="35.04999923706055" hidden="0">
      <x:c r="A6" s="10" t="s">
        <x:v>291</x:v>
      </x:c>
      <x:c r="B6" s="10" t="s">
        <x:v>292</x:v>
      </x:c>
      <x:c r="C6" s="10" t="s">
        <x:v>293</x:v>
      </x:c>
      <x:c r="D6" s="10" t="s">
        <x:v>294</x:v>
      </x:c>
      <x:c r="E6" s="10" t="s">
        <x:v>295</x:v>
      </x:c>
      <x:c r="F6" s="10" t="s">
        <x:v>178</x:v>
      </x:c>
      <x:c r="G6" s="10" t="s">
        <x:v>179</x:v>
      </x:c>
    </x:row>
    <x:row r="7" ht="35.04999923706055" hidden="0">
      <x:c r="A7" s="9" t="s">
        <x:v>296</x:v>
      </x:c>
      <x:c r="B7" s="9" t="s">
        <x:v>292</x:v>
      </x:c>
      <x:c r="C7" s="9" t="s">
        <x:v>297</x:v>
      </x:c>
      <x:c r="D7" s="9" t="s">
        <x:v>298</x:v>
      </x:c>
      <x:c r="E7" s="9" t="s">
        <x:v>299</x:v>
      </x:c>
      <x:c r="F7" s="9" t="s">
        <x:v>67</x:v>
      </x:c>
      <x:c r="G7" s="9" t="s">
        <x:v>179</x:v>
      </x:c>
    </x:row>
    <x:row r="8" ht="23.850000381469727" hidden="0">
      <x:c r="A8" s="10" t="s">
        <x:v>300</x:v>
      </x:c>
      <x:c r="B8" s="10" t="s">
        <x:v>292</x:v>
      </x:c>
      <x:c r="C8" s="10" t="s">
        <x:v>301</x:v>
      </x:c>
      <x:c r="D8" s="10" t="s">
        <x:v>302</x:v>
      </x:c>
      <x:c r="E8" s="10" t="s">
        <x:v>303</x:v>
      </x:c>
      <x:c r="F8" s="10" t="s">
        <x:v>178</x:v>
      </x:c>
      <x:c r="G8" s="10" t="s">
        <x:v>179</x:v>
      </x:c>
    </x:row>
    <x:row r="9" ht="23.850000381469727" hidden="0">
      <x:c r="A9" s="9" t="s">
        <x:v>304</x:v>
      </x:c>
      <x:c r="B9" s="9" t="s">
        <x:v>292</x:v>
      </x:c>
      <x:c r="C9" s="9" t="s">
        <x:v>305</x:v>
      </x:c>
      <x:c r="D9" s="9" t="s">
        <x:v>306</x:v>
      </x:c>
      <x:c r="E9" s="9" t="s">
        <x:v>307</x:v>
      </x:c>
      <x:c r="F9" s="9" t="s">
        <x:v>67</x:v>
      </x:c>
      <x:c r="G9" s="9" t="s">
        <x:v>179</x:v>
      </x:c>
    </x:row>
    <x:row r="10" ht="35.04999923706055" hidden="0">
      <x:c r="A10" s="10" t="s">
        <x:v>308</x:v>
      </x:c>
      <x:c r="B10" s="10" t="s">
        <x:v>292</x:v>
      </x:c>
      <x:c r="C10" s="10" t="s">
        <x:v>309</x:v>
      </x:c>
      <x:c r="D10" s="10" t="s">
        <x:v>310</x:v>
      </x:c>
      <x:c r="E10" s="10" t="s">
        <x:v>311</x:v>
      </x:c>
      <x:c r="F10" s="10" t="s">
        <x:v>72</x:v>
      </x:c>
      <x:c r="G10" s="10" t="s">
        <x:v>179</x:v>
      </x:c>
    </x:row>
    <x:row r="11" ht="23.850000381469727" hidden="0">
      <x:c r="A11" s="9" t="s">
        <x:v>312</x:v>
      </x:c>
      <x:c r="B11" s="9" t="s">
        <x:v>313</x:v>
      </x:c>
      <x:c r="C11" s="9" t="s">
        <x:v>314</x:v>
      </x:c>
      <x:c r="D11" s="9" t="s">
        <x:v>315</x:v>
      </x:c>
      <x:c r="E11" s="9" t="s">
        <x:v>316</x:v>
      </x:c>
      <x:c r="F11" s="9" t="s">
        <x:v>39</x:v>
      </x:c>
      <x:c r="G11" s="9" t="s">
        <x:v>191</x:v>
      </x:c>
    </x:row>
    <x:row r="12" ht="35.04999923706055" hidden="0">
      <x:c r="A12" s="10" t="s">
        <x:v>317</x:v>
      </x:c>
      <x:c r="B12" s="10" t="s">
        <x:v>313</x:v>
      </x:c>
      <x:c r="C12" s="10" t="s">
        <x:v>318</x:v>
      </x:c>
      <x:c r="D12" s="10" t="s">
        <x:v>319</x:v>
      </x:c>
      <x:c r="E12" s="10" t="s">
        <x:v>320</x:v>
      </x:c>
      <x:c r="F12" s="10" t="s">
        <x:v>39</x:v>
      </x:c>
      <x:c r="G12" s="10" t="s">
        <x:v>191</x:v>
      </x:c>
    </x:row>
    <x:row r="13" ht="23.850000381469727" hidden="0">
      <x:c r="A13" s="9" t="s">
        <x:v>321</x:v>
      </x:c>
      <x:c r="B13" s="9" t="s">
        <x:v>322</x:v>
      </x:c>
      <x:c r="C13" s="9" t="s">
        <x:v>323</x:v>
      </x:c>
      <x:c r="D13" s="9" t="s">
        <x:v>324</x:v>
      </x:c>
      <x:c r="E13" s="9" t="s">
        <x:v>325</x:v>
      </x:c>
      <x:c r="F13" s="9" t="s">
        <x:v>57</x:v>
      </x:c>
      <x:c r="G13" s="9" t="s">
        <x:v>179</x:v>
      </x:c>
    </x:row>
    <x:row r="14" ht="35.04999923706055" hidden="0">
      <x:c r="A14" s="10" t="s">
        <x:v>326</x:v>
      </x:c>
      <x:c r="B14" s="10" t="s">
        <x:v>327</x:v>
      </x:c>
      <x:c r="C14" s="10" t="s">
        <x:v>328</x:v>
      </x:c>
      <x:c r="D14" s="10" t="s">
        <x:v>329</x:v>
      </x:c>
      <x:c r="E14" s="10" t="s">
        <x:v>330</x:v>
      </x:c>
      <x:c r="F14" s="10" t="s">
        <x:v>82</x:v>
      </x:c>
      <x:c r="G14" s="10" t="s">
        <x:v>179</x:v>
      </x:c>
    </x:row>
    <x:row r="15" ht="35.04999923706055" hidden="0">
      <x:c r="A15" s="9" t="s">
        <x:v>331</x:v>
      </x:c>
      <x:c r="B15" s="9" t="s">
        <x:v>332</x:v>
      </x:c>
      <x:c r="C15" s="9" t="s">
        <x:v>333</x:v>
      </x:c>
      <x:c r="D15" s="9" t="s">
        <x:v>334</x:v>
      </x:c>
      <x:c r="E15" s="9" t="s">
        <x:v>335</x:v>
      </x:c>
      <x:c r="F15" s="9" t="s">
        <x:v>67</x:v>
      </x:c>
      <x:c r="G15" s="9" t="s">
        <x:v>179</x:v>
      </x:c>
    </x:row>
  </x:sheetData>
  <x:mergeCells>
    <x:mergeCell ref="A1:G1"/>
  </x:mergeCells>
  <x:pageMargins left="0.7" right="0.7" top="0.75" bottom="0.75" header="0.3" footer="0.3"/>
</x:worksheet>
</file>

<file path=xl/worksheets/sheet6.xml><?xml version="1.0" encoding="utf-8"?>
<x:worksheet xmlns:x="http://schemas.openxmlformats.org/spreadsheetml/2006/main">
  <x:sheetViews>
    <x:sheetView showGridLines="1" workbookViewId="0"/>
  </x:sheetViews>
  <x:sheetFormatPr defaultColWidth="8.6796875" defaultRowHeight="15"/>
  <x:cols>
    <x:col min="1" max="1" width="10" hidden="0" customWidth="1"/>
    <x:col min="2" max="2" width="20" hidden="0" customWidth="1"/>
    <x:col min="3" max="3" width="74" hidden="0" customWidth="1"/>
    <x:col min="4" max="4" width="88" hidden="0" customWidth="1"/>
  </x:cols>
  <x:sheetData>
    <x:row r="1" ht="25.5" hidden="0" customHeight="1">
      <x:c r="A1" s="7" t="s">
        <x:v>336</x:v>
      </x:c>
      <x:c r="B1" s="7"/>
      <x:c r="C1" s="7"/>
      <x:c r="D1" s="7"/>
    </x:row>
    <x:row r="2" ht="30" hidden="0" customHeight="1">
      <x:c r="A2" s="8" t="s">
        <x:v>32</x:v>
      </x:c>
      <x:c r="B2" s="8" t="s">
        <x:v>88</x:v>
      </x:c>
      <x:c r="C2" s="8" t="s">
        <x:v>337</x:v>
      </x:c>
      <x:c r="D2" s="8" t="s">
        <x:v>338</x:v>
      </x:c>
    </x:row>
    <x:row r="3" ht="35.04999923706055" hidden="0">
      <x:c r="A3" s="9" t="s">
        <x:v>339</x:v>
      </x:c>
      <x:c r="B3" s="9" t="s">
        <x:v>340</x:v>
      </x:c>
      <x:c r="C3" s="9" t="s">
        <x:v>341</x:v>
      </x:c>
      <x:c r="D3" s="9" t="s">
        <x:v>342</x:v>
      </x:c>
    </x:row>
    <x:row r="4" ht="35.04999923706055" hidden="0">
      <x:c r="A4" s="10" t="s">
        <x:v>343</x:v>
      </x:c>
      <x:c r="B4" s="10" t="s">
        <x:v>344</x:v>
      </x:c>
      <x:c r="C4" s="10" t="s">
        <x:v>345</x:v>
      </x:c>
      <x:c r="D4" s="10" t="s">
        <x:v>346</x:v>
      </x:c>
    </x:row>
    <x:row r="5" ht="35.04999923706055" hidden="0">
      <x:c r="A5" s="9" t="s">
        <x:v>347</x:v>
      </x:c>
      <x:c r="B5" s="9" t="s">
        <x:v>348</x:v>
      </x:c>
      <x:c r="C5" s="9" t="s">
        <x:v>349</x:v>
      </x:c>
      <x:c r="D5" s="9" t="s">
        <x:v>350</x:v>
      </x:c>
    </x:row>
    <x:row r="6" ht="23.850000381469727" hidden="0">
      <x:c r="A6" s="10" t="s">
        <x:v>351</x:v>
      </x:c>
      <x:c r="B6" s="10" t="s">
        <x:v>352</x:v>
      </x:c>
      <x:c r="C6" s="10" t="s">
        <x:v>353</x:v>
      </x:c>
      <x:c r="D6" s="10" t="s">
        <x:v>354</x:v>
      </x:c>
    </x:row>
    <x:row r="7" ht="23.850000381469727" hidden="0">
      <x:c r="A7" s="9" t="s">
        <x:v>355</x:v>
      </x:c>
      <x:c r="B7" s="9" t="s">
        <x:v>292</x:v>
      </x:c>
      <x:c r="C7" s="9" t="s">
        <x:v>356</x:v>
      </x:c>
      <x:c r="D7" s="9" t="s">
        <x:v>357</x:v>
      </x:c>
    </x:row>
    <x:row r="8" ht="35.04999923706055" hidden="0">
      <x:c r="A8" s="10" t="s">
        <x:v>358</x:v>
      </x:c>
      <x:c r="B8" s="10" t="s">
        <x:v>359</x:v>
      </x:c>
      <x:c r="C8" s="10" t="s">
        <x:v>360</x:v>
      </x:c>
      <x:c r="D8" s="10" t="s">
        <x:v>361</x:v>
      </x:c>
    </x:row>
    <x:row r="9" ht="35.04999923706055" hidden="0">
      <x:c r="A9" s="9" t="s">
        <x:v>362</x:v>
      </x:c>
      <x:c r="B9" s="9" t="s">
        <x:v>363</x:v>
      </x:c>
      <x:c r="C9" s="9" t="s">
        <x:v>364</x:v>
      </x:c>
      <x:c r="D9" s="9" t="s">
        <x:v>365</x:v>
      </x:c>
    </x:row>
    <x:row r="10" ht="23.850000381469727" hidden="0">
      <x:c r="A10" s="10" t="s">
        <x:v>366</x:v>
      </x:c>
      <x:c r="B10" s="10" t="s">
        <x:v>367</x:v>
      </x:c>
      <x:c r="C10" s="10" t="s">
        <x:v>368</x:v>
      </x:c>
      <x:c r="D10" s="10" t="s">
        <x:v>369</x:v>
      </x:c>
    </x:row>
  </x:sheetData>
  <x:mergeCells>
    <x:mergeCell ref="A1:D1"/>
  </x:mergeCell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ColWidth="8.6796875" defaultRowHeight="15"/>
  <x:cols>
    <x:col min="1" max="1" width="10" hidden="0" customWidth="1"/>
    <x:col min="2" max="2" width="18" hidden="0" customWidth="1"/>
    <x:col min="3" max="3" width="11" hidden="0" customWidth="1"/>
    <x:col min="4" max="4" width="48" hidden="0" customWidth="1"/>
    <x:col min="5" max="5" width="10" hidden="0" customWidth="1"/>
    <x:col min="6" max="6" width="26" hidden="0" customWidth="1"/>
    <x:col min="7" max="7" width="24" hidden="0" customWidth="1"/>
    <x:col min="8" max="8" width="24" hidden="0" customWidth="1"/>
    <x:col min="9" max="9" width="34" hidden="0" customWidth="1"/>
    <x:col min="10" max="10" width="34" hidden="0" customWidth="1"/>
    <x:col min="11" max="11" width="26" hidden="0" customWidth="1"/>
    <x:col min="12" max="12" width="32" hidden="0" customWidth="1"/>
    <x:col min="13" max="13" width="36" hidden="0" customWidth="1"/>
    <x:col min="14" max="14" width="26" hidden="0" customWidth="1"/>
    <x:col min="15" max="15" width="12" hidden="0" customWidth="1"/>
  </x:cols>
  <x:sheetData>
    <x:row r="1" ht="38.25" hidden="0" customHeight="1">
      <x:c r="A1" s="7" t="inlineStr">
        <x:is>
          <x:t xml:space="preserve">Requirements Traceability Matrix. From M2 (#54, CR-003), columns G to N trace each requirement to its quality driver, module, data, design, technology, implementation and verification evidence. A cell with no evidence yet holds a controlled status: Planned (M3), Not yet designed, Not yet decided, Not yet implemented or Not applicable. FR-016 is traced end to end.</x:t>
        </x:is>
      </x:c>
      <x:c r="B1" s="7"/>
      <x:c r="C1" s="7"/>
      <x:c r="D1" s="7"/>
      <x:c r="E1" s="7"/>
      <x:c r="F1" s="7"/>
      <x:c r="G1" s="7"/>
      <x:c r="H1" s="7"/>
      <x:c r="I1" s="7"/>
      <x:c r="J1" s="7"/>
      <x:c r="K1" s="7"/>
      <x:c r="L1" s="7"/>
      <x:c r="M1" s="7"/>
      <x:c r="N1" s="7"/>
      <x:c r="O1" s="7"/>
    </x:row>
    <x:row r="2" ht="30" hidden="0" customHeight="1">
      <x:c r="A2" s="8" t="s">
        <x:v>370</x:v>
      </x:c>
      <x:c r="B2" s="8" t="s">
        <x:v>371</x:v>
      </x:c>
      <x:c r="C2" s="8" t="s">
        <x:v>372</x:v>
      </x:c>
      <x:c r="D2" s="8" t="s">
        <x:v>373</x:v>
      </x:c>
      <x:c r="E2" s="8" t="s">
        <x:v>173</x:v>
      </x:c>
      <x:c r="F2" s="8" t="s">
        <x:v>174</x:v>
      </x:c>
      <x:c r="G2" s="8" t="inlineStr">
        <x:is>
          <x:t xml:space="preserve">ASR or quality driver</x:t>
        </x:is>
      </x:c>
      <x:c r="H2" s="8" t="inlineStr">
        <x:is>
          <x:t xml:space="preserve">Architecture module or component</x:t>
        </x:is>
      </x:c>
      <x:c r="I2" s="8" t="inlineStr">
        <x:is>
          <x:t xml:space="preserve">Data and persistence impact</x:t>
        </x:is>
      </x:c>
      <x:c r="J2" s="8" t="inlineStr">
        <x:is>
          <x:t xml:space="preserve">Design or interface decision</x:t>
        </x:is>
      </x:c>
      <x:c r="K2" s="8" t="inlineStr">
        <x:is>
          <x:t xml:space="preserve">Technology decision</x:t>
        </x:is>
      </x:c>
      <x:c r="L2" s="8" t="inlineStr">
        <x:is>
          <x:t xml:space="preserve">Implementation evidence</x:t>
        </x:is>
      </x:c>
      <x:c r="M2" s="8" t="inlineStr">
        <x:is>
          <x:t xml:space="preserve">Verification evidence</x:t>
        </x:is>
      </x:c>
      <x:c r="N2" s="8" t="inlineStr">
        <x:is>
          <x:t xml:space="preserve">ADR, change or risk reference</x:t>
        </x:is>
      </x:c>
      <x:c r="O2" s="8" t="s">
        <x:v>175</x:v>
      </x:c>
    </x:row>
    <x:row r="3" ht="47.599998474121094" hidden="0">
      <x:c r="A3" s="9" t="s">
        <x:v>374</x:v>
      </x:c>
      <x:c r="B3" s="9" t="s">
        <x:v>178</x:v>
      </x:c>
      <x:c r="C3" s="9" t="s">
        <x:v>176</x:v>
      </x:c>
      <x:c r="D3" s="9" t="s">
        <x:v>375</x:v>
      </x:c>
      <x:c r="E3" s="9" t="s">
        <x:v>179</x:v>
      </x:c>
      <x:c r="F3" s="9" t="s">
        <x:v>376</x:v>
      </x:c>
      <x:c r="G3" s="9" t="inlineStr">
        <x:is>
          <x:t xml:space="preserve">None. Not cited by ASR-01 to ASR-06</x:t>
        </x:is>
      </x:c>
      <x:c r="H3" s="9" t="inlineStr">
        <x:is>
          <x:t xml:space="preserve">Identity and access</x:t>
        </x:is>
      </x:c>
      <x:c r="I3" s="9" t="inlineStr">
        <x:is>
          <x:t xml:space="preserve">ADR-007 (DEC-011, #97): User, with a unique email and an active flag. Credential storage not yet designed</x:t>
        </x:is>
      </x:c>
      <x:c r="J3" s="9" t="inlineStr">
        <x:is>
          <x:t xml:space="preserve">Not yet designed. Authentication is part of the RSK-01 proof of concept (ADR-002)</x:t>
        </x:is>
      </x:c>
      <x:c r="K3" s="9" t="inlineStr">
        <x:is>
          <x:t xml:space="preserve">ADR-002 (DEC-008, #91): Node.js 24, Express 5, Prisma 7 on PostgreSQL</x:t>
        </x:is>
      </x:c>
      <x:c r="L3" s="9" t="inlineStr">
        <x:is>
          <x:t xml:space="preserve">Not yet implemented</x:t>
        </x:is>
      </x:c>
      <x:c r="M3" s="9" t="inlineStr">
        <x:is>
          <x:t xml:space="preserve">Planned (M3)</x:t>
        </x:is>
      </x:c>
      <x:c r="N3" s="9" t="inlineStr">
        <x:is>
          <x:t xml:space="preserve">RSK-05, RSK-01, ADR-002</x:t>
        </x:is>
      </x:c>
      <x:c r="O3" s="9" t="s">
        <x:v>181</x:v>
      </x:c>
    </x:row>
    <x:row r="4" ht="35.70000076293945" hidden="0">
      <x:c r="A4" s="10" t="s">
        <x:v>377</x:v>
      </x:c>
      <x:c r="B4" s="10" t="s">
        <x:v>184</x:v>
      </x:c>
      <x:c r="C4" s="10" t="s">
        <x:v>182</x:v>
      </x:c>
      <x:c r="D4" s="10" t="s">
        <x:v>378</x:v>
      </x:c>
      <x:c r="E4" s="10" t="s">
        <x:v>179</x:v>
      </x:c>
      <x:c r="F4" s="10" t="s">
        <x:v>376</x:v>
      </x:c>
      <x:c r="G4" s="10" t="inlineStr">
        <x:is>
          <x:t xml:space="preserve">ASR-01 server-side authorisation with record-level scope</x:t>
        </x:is>
      </x:c>
      <x:c r="H4" s="10" t="inlineStr">
        <x:is>
          <x:t xml:space="preserve">Authorisation policy, cross-cutting and used by every module</x:t>
        </x:is>
      </x:c>
      <x:c r="I4" s="10" t="inlineStr">
        <x:is>
          <x:t xml:space="preserve">ADR-007 (DEC-011, #97): User.role and UserCategory</x:t>
        </x:is>
      </x:c>
      <x:c r="J4" s="10" t="inlineStr">
        <x:is>
          <x:t xml:space="preserve">ADR-006 (DEC-014): permits() for actions and scopes for reads, in one policy module</x:t>
        </x:is>
      </x:c>
      <x:c r="K4" s="10" t="inlineStr">
        <x:is>
          <x:t xml:space="preserve">ADR-002 (DEC-008, #91): Node.js 24, Express 5, Prisma 7 on PostgreSQL</x:t>
        </x:is>
      </x:c>
      <x:c r="L4" s="10" t="inlineStr">
        <x:is>
          <x:t xml:space="preserve">src/modules/authorisation-policy/policy.js (#94, merged)</x:t>
        </x:is>
      </x:c>
      <x:c r="M4" s="10" t="inlineStr">
        <x:is>
          <x:t xml:space="preserve">tests/authorisation-policy.test.js (#94): every Access Matrix cell. Endpoint negative tests planned (M3)</x:t>
        </x:is>
      </x:c>
      <x:c r="N4" s="10" t="inlineStr">
        <x:is>
          <x:t xml:space="preserve">RSK-05, FEC-01, ADR-006, CR-002 (#92)</x:t>
        </x:is>
      </x:c>
      <x:c r="O4" s="10" t="s">
        <x:v>181</x:v>
      </x:c>
    </x:row>
    <x:row r="5" ht="35.70000076293945" hidden="0">
      <x:c r="A5" s="9" t="s">
        <x:v>379</x:v>
      </x:c>
      <x:c r="B5" s="9" t="s">
        <x:v>62</x:v>
      </x:c>
      <x:c r="C5" s="9" t="s">
        <x:v>186</x:v>
      </x:c>
      <x:c r="D5" s="9" t="s">
        <x:v>187</x:v>
      </x:c>
      <x:c r="E5" s="9" t="s">
        <x:v>179</x:v>
      </x:c>
      <x:c r="F5" s="9" t="s">
        <x:v>376</x:v>
      </x:c>
      <x:c r="G5" s="9" t="inlineStr">
        <x:is>
          <x:t xml:space="preserve">None. Not cited by ASR-01 to ASR-06</x:t>
        </x:is>
      </x:c>
      <x:c r="H5" s="9" t="inlineStr">
        <x:is>
          <x:t xml:space="preserve">Identity and access</x:t>
        </x:is>
      </x:c>
      <x:c r="I5" s="9" t="inlineStr">
        <x:is>
          <x:t xml:space="preserve">ADR-007 (DEC-011, #97): User.role, one role per user</x:t>
        </x:is>
      </x:c>
      <x:c r="J5" s="9" t="inlineStr">
        <x:is>
          <x:t xml:space="preserve">Not yet designed</x:t>
        </x:is>
      </x:c>
      <x:c r="K5" s="9" t="inlineStr">
        <x:is>
          <x:t xml:space="preserve">ADR-002 (DEC-008, #91): Node.js 24, Express 5, Prisma 7 on PostgreSQL</x:t>
        </x:is>
      </x:c>
      <x:c r="L5" s="9" t="inlineStr">
        <x:is>
          <x:t xml:space="preserve">Not yet implemented</x:t>
        </x:is>
      </x:c>
      <x:c r="M5" s="9" t="inlineStr">
        <x:is>
          <x:t xml:space="preserve">Planned (M3)</x:t>
        </x:is>
      </x:c>
      <x:c r="N5" s="9" t="inlineStr">
        <x:is>
          <x:t xml:space="preserve">ADR-007</x:t>
        </x:is>
      </x:c>
      <x:c r="O5" s="9" t="s">
        <x:v>181</x:v>
      </x:c>
    </x:row>
    <x:row r="6" ht="35.70000076293945" hidden="0">
      <x:c r="A6" s="10" t="s">
        <x:v>380</x:v>
      </x:c>
      <x:c r="B6" s="10" t="s">
        <x:v>39</x:v>
      </x:c>
      <x:c r="C6" s="10" t="s">
        <x:v>189</x:v>
      </x:c>
      <x:c r="D6" s="10" t="s">
        <x:v>381</x:v>
      </x:c>
      <x:c r="E6" s="10" t="s">
        <x:v>191</x:v>
      </x:c>
      <x:c r="F6" s="10" t="s">
        <x:v>376</x:v>
      </x:c>
      <x:c r="G6" s="10" t="inlineStr">
        <x:is>
          <x:t xml:space="preserve">None. Not cited by ASR-01 to ASR-06</x:t>
        </x:is>
      </x:c>
      <x:c r="H6" s="10" t="inlineStr">
        <x:is>
          <x:t xml:space="preserve">Identity and access</x:t>
        </x:is>
      </x:c>
      <x:c r="I6" s="10" t="inlineStr">
        <x:is>
          <x:t xml:space="preserve">Not yet designed</x:t>
        </x:is>
      </x:c>
      <x:c r="J6" s="10" t="inlineStr">
        <x:is>
          <x:t xml:space="preserve">Not yet designed</x:t>
        </x:is>
      </x:c>
      <x:c r="K6" s="10" t="inlineStr">
        <x:is>
          <x:t xml:space="preserve">ADR-002 (DEC-008, #91): Node.js 24, Express 5, Prisma 7 on PostgreSQL</x:t>
        </x:is>
      </x:c>
      <x:c r="L6" s="10" t="inlineStr">
        <x:is>
          <x:t xml:space="preserve">Not yet implemented</x:t>
        </x:is>
      </x:c>
      <x:c r="M6" s="10" t="inlineStr">
        <x:is>
          <x:t xml:space="preserve">Planned (M3)</x:t>
        </x:is>
      </x:c>
      <x:c r="N6" s="10" t="inlineStr">
        <x:is>
          <x:t xml:space="preserve">RSK-05</x:t>
        </x:is>
      </x:c>
      <x:c r="O6" s="10" t="s">
        <x:v>181</x:v>
      </x:c>
    </x:row>
    <x:row r="7" ht="35.70000076293945" hidden="0">
      <x:c r="A7" s="9" t="s">
        <x:v>382</x:v>
      </x:c>
      <x:c r="B7" s="9" t="s">
        <x:v>39</x:v>
      </x:c>
      <x:c r="C7" s="9" t="s">
        <x:v>193</x:v>
      </x:c>
      <x:c r="D7" s="9" t="s">
        <x:v>383</x:v>
      </x:c>
      <x:c r="E7" s="9" t="s">
        <x:v>179</x:v>
      </x:c>
      <x:c r="F7" s="9" t="s">
        <x:v>376</x:v>
      </x:c>
      <x:c r="G7" s="9" t="inlineStr">
        <x:is>
          <x:t xml:space="preserve">None. Not cited by ASR-01 to ASR-06</x:t>
        </x:is>
      </x:c>
      <x:c r="H7" s="9" t="inlineStr">
        <x:is>
          <x:t xml:space="preserve">Request capture</x:t>
        </x:is>
      </x:c>
      <x:c r="I7" s="9" t="inlineStr">
        <x:is>
          <x:t xml:space="preserve">ADR-007 (DEC-011, #97): Request, with location and reportedUrgency held apart from priority</x:t>
        </x:is>
      </x:c>
      <x:c r="J7" s="9" t="inlineStr">
        <x:is>
          <x:t xml:space="preserve">Not yet designed</x:t>
        </x:is>
      </x:c>
      <x:c r="K7" s="9" t="inlineStr">
        <x:is>
          <x:t xml:space="preserve">ADR-002 (DEC-008, #91): Node.js 24, Express 5, Prisma 7 on PostgreSQL</x:t>
        </x:is>
      </x:c>
      <x:c r="L7" s="9" t="inlineStr">
        <x:is>
          <x:t xml:space="preserve">Not yet implemented</x:t>
        </x:is>
      </x:c>
      <x:c r="M7" s="9" t="inlineStr">
        <x:is>
          <x:t xml:space="preserve">Planned (M3)</x:t>
        </x:is>
      </x:c>
      <x:c r="N7" s="9" t="inlineStr">
        <x:is>
          <x:t xml:space="preserve">ADR-007</x:t>
        </x:is>
      </x:c>
      <x:c r="O7" s="9" t="s">
        <x:v>181</x:v>
      </x:c>
    </x:row>
    <x:row r="8" ht="35.70000076293945" hidden="0">
      <x:c r="A8" s="10" t="s">
        <x:v>384</x:v>
      </x:c>
      <x:c r="B8" s="10" t="s">
        <x:v>198</x:v>
      </x:c>
      <x:c r="C8" s="10" t="s">
        <x:v>196</x:v>
      </x:c>
      <x:c r="D8" s="10" t="s">
        <x:v>385</x:v>
      </x:c>
      <x:c r="E8" s="10" t="s">
        <x:v>179</x:v>
      </x:c>
      <x:c r="F8" s="10" t="s">
        <x:v>376</x:v>
      </x:c>
      <x:c r="G8" s="10" t="inlineStr">
        <x:is>
          <x:t xml:space="preserve">None. Not cited by ASR-01 to ASR-06</x:t>
        </x:is>
      </x:c>
      <x:c r="H8" s="10" t="inlineStr">
        <x:is>
          <x:t xml:space="preserve">Request capture</x:t>
        </x:is>
      </x:c>
      <x:c r="I8" s="10" t="inlineStr">
        <x:is>
          <x:t xml:space="preserve">ADR-007 (DEC-011, #97): Category with an active flag, referenced by a foreign key</x:t>
        </x:is>
      </x:c>
      <x:c r="J8" s="10" t="inlineStr">
        <x:is>
          <x:t xml:space="preserve">Not yet designed</x:t>
        </x:is>
      </x:c>
      <x:c r="K8" s="10" t="inlineStr">
        <x:is>
          <x:t xml:space="preserve">ADR-002 (DEC-008, #91): Node.js 24, Express 5, Prisma 7 on PostgreSQL</x:t>
        </x:is>
      </x:c>
      <x:c r="L8" s="10" t="inlineStr">
        <x:is>
          <x:t xml:space="preserve">Not yet implemented</x:t>
        </x:is>
      </x:c>
      <x:c r="M8" s="10" t="inlineStr">
        <x:is>
          <x:t xml:space="preserve">Planned (M3)</x:t>
        </x:is>
      </x:c>
      <x:c r="N8" s="10" t="inlineStr">
        <x:is>
          <x:t xml:space="preserve">FEC-02, ADR-007</x:t>
        </x:is>
      </x:c>
      <x:c r="O8" s="10" t="s">
        <x:v>181</x:v>
      </x:c>
    </x:row>
    <x:row r="9" ht="35.70000076293945" hidden="0">
      <x:c r="A9" s="9" t="s">
        <x:v>386</x:v>
      </x:c>
      <x:c r="B9" s="9" t="s">
        <x:v>39</x:v>
      </x:c>
      <x:c r="C9" s="9" t="s">
        <x:v>200</x:v>
      </x:c>
      <x:c r="D9" s="9" t="s">
        <x:v>387</x:v>
      </x:c>
      <x:c r="E9" s="9" t="s">
        <x:v>179</x:v>
      </x:c>
      <x:c r="F9" s="9" t="s">
        <x:v>376</x:v>
      </x:c>
      <x:c r="G9" s="9" t="inlineStr">
        <x:is>
          <x:t xml:space="preserve">None. Not cited by ASR-01 to ASR-06</x:t>
        </x:is>
      </x:c>
      <x:c r="H9" s="9" t="inlineStr">
        <x:is>
          <x:t xml:space="preserve">Request capture</x:t>
        </x:is>
      </x:c>
      <x:c r="I9" s="9" t="inlineStr">
        <x:is>
          <x:t xml:space="preserve">ADR-007 (DEC-011, #97): Not-null and foreign-key constraints behind service validation</x:t>
        </x:is>
      </x:c>
      <x:c r="J9" s="9" t="inlineStr">
        <x:is>
          <x:t xml:space="preserve">ADR-007: validation divided across interface, service and database (A2 Task 2)</x:t>
        </x:is>
      </x:c>
      <x:c r="K9" s="9" t="inlineStr">
        <x:is>
          <x:t xml:space="preserve">ADR-002 (DEC-008, #91): Node.js 24, Express 5, Prisma 7 on PostgreSQL</x:t>
        </x:is>
      </x:c>
      <x:c r="L9" s="9" t="inlineStr">
        <x:is>
          <x:t xml:space="preserve">Not yet implemented</x:t>
        </x:is>
      </x:c>
      <x:c r="M9" s="9" t="inlineStr">
        <x:is>
          <x:t xml:space="preserve">Planned (M3)</x:t>
        </x:is>
      </x:c>
      <x:c r="N9" s="9" t="inlineStr">
        <x:is>
          <x:t xml:space="preserve">ADR-007</x:t>
        </x:is>
      </x:c>
      <x:c r="O9" s="9" t="s">
        <x:v>181</x:v>
      </x:c>
    </x:row>
    <x:row r="10" ht="47.599998474121094" hidden="0">
      <x:c r="A10" s="10" t="s">
        <x:v>388</x:v>
      </x:c>
      <x:c r="B10" s="10" t="s">
        <x:v>204</x:v>
      </x:c>
      <x:c r="C10" s="10" t="s">
        <x:v>101</x:v>
      </x:c>
      <x:c r="D10" s="10" t="s">
        <x:v>203</x:v>
      </x:c>
      <x:c r="E10" s="10" t="s">
        <x:v>179</x:v>
      </x:c>
      <x:c r="F10" s="10" t="s">
        <x:v>376</x:v>
      </x:c>
      <x:c r="G10" s="10" t="inlineStr">
        <x:is>
          <x:t xml:space="preserve">None. Not cited by ASR-01 to ASR-06</x:t>
        </x:is>
      </x:c>
      <x:c r="H10" s="10" t="inlineStr">
        <x:is>
          <x:t xml:space="preserve">Request capture, with Persistence</x:t>
        </x:is>
      </x:c>
      <x:c r="I10" s="10" t="inlineStr">
        <x:is>
          <x:t xml:space="preserve">ADR-007 (DEC-011, #97): Reference from a database sequence with a unique constraint. Gaps after a failed transaction are accepted</x:t>
        </x:is>
      </x:c>
      <x:c r="J10" s="10" t="inlineStr">
        <x:is>
          <x:t xml:space="preserve">ADR-007: database-native atomic sequence (A2 Task 2)</x:t>
        </x:is>
      </x:c>
      <x:c r="K10" s="10" t="inlineStr">
        <x:is>
          <x:t xml:space="preserve">ADR-002 (DEC-008, #91): Node.js 24, Express 5, Prisma 7 on PostgreSQL</x:t>
        </x:is>
      </x:c>
      <x:c r="L10" s="10" t="inlineStr">
        <x:is>
          <x:t xml:space="preserve">Not yet implemented</x:t>
        </x:is>
      </x:c>
      <x:c r="M10" s="10" t="inlineStr">
        <x:is>
          <x:t xml:space="preserve">Planned (M3)</x:t>
        </x:is>
      </x:c>
      <x:c r="N10" s="10" t="inlineStr">
        <x:is>
          <x:t xml:space="preserve">DEC-004, ADR-007</x:t>
        </x:is>
      </x:c>
      <x:c r="O10" s="10" t="s">
        <x:v>181</x:v>
      </x:c>
    </x:row>
    <x:row r="11" ht="35.70000076293945" hidden="0">
      <x:c r="A11" s="9" t="s">
        <x:v>389</x:v>
      </x:c>
      <x:c r="B11" s="9" t="s">
        <x:v>39</x:v>
      </x:c>
      <x:c r="C11" s="9" t="s">
        <x:v>206</x:v>
      </x:c>
      <x:c r="D11" s="9" t="s">
        <x:v>390</x:v>
      </x:c>
      <x:c r="E11" s="9" t="s">
        <x:v>179</x:v>
      </x:c>
      <x:c r="F11" s="9" t="s">
        <x:v>376</x:v>
      </x:c>
      <x:c r="G11" s="9" t="inlineStr">
        <x:is>
          <x:t xml:space="preserve">None. Not cited by ASR-01 to ASR-06</x:t>
        </x:is>
      </x:c>
      <x:c r="H11" s="9" t="inlineStr">
        <x:is>
          <x:t xml:space="preserve">Request capture</x:t>
        </x:is>
      </x:c>
      <x:c r="I11" s="9" t="inlineStr">
        <x:is>
          <x:t xml:space="preserve">ADR-007 (DEC-011, #97): Request.reference and createdAt, committed in the creation transaction</x:t>
        </x:is>
      </x:c>
      <x:c r="J11" s="9" t="inlineStr">
        <x:is>
          <x:t xml:space="preserve">Not yet designed</x:t>
        </x:is>
      </x:c>
      <x:c r="K11" s="9" t="inlineStr">
        <x:is>
          <x:t xml:space="preserve">ADR-002 (DEC-008, #91): Node.js 24, Express 5, Prisma 7 on PostgreSQL</x:t>
        </x:is>
      </x:c>
      <x:c r="L11" s="9" t="inlineStr">
        <x:is>
          <x:t xml:space="preserve">Not yet implemented</x:t>
        </x:is>
      </x:c>
      <x:c r="M11" s="9" t="inlineStr">
        <x:is>
          <x:t xml:space="preserve">Planned (M3)</x:t>
        </x:is>
      </x:c>
      <x:c r="N11" s="9" t="inlineStr">
        <x:is>
          <x:t xml:space="preserve">ADR-007</x:t>
        </x:is>
      </x:c>
      <x:c r="O11" s="9" t="s">
        <x:v>181</x:v>
      </x:c>
    </x:row>
    <x:row r="12" ht="35.70000076293945" hidden="0">
      <x:c r="A12" s="10" t="s">
        <x:v>391</x:v>
      </x:c>
      <x:c r="B12" s="10" t="s">
        <x:v>39</x:v>
      </x:c>
      <x:c r="C12" s="10" t="s">
        <x:v>209</x:v>
      </x:c>
      <x:c r="D12" s="10" t="s">
        <x:v>392</x:v>
      </x:c>
      <x:c r="E12" s="10" t="s">
        <x:v>179</x:v>
      </x:c>
      <x:c r="F12" s="10" t="s">
        <x:v>376</x:v>
      </x:c>
      <x:c r="G12" s="10" t="inlineStr">
        <x:is>
          <x:t xml:space="preserve">None. Not cited by ASR-01 to ASR-06</x:t>
        </x:is>
      </x:c>
      <x:c r="H12" s="10" t="inlineStr">
        <x:is>
          <x:t xml:space="preserve">Request access and queue</x:t>
        </x:is>
      </x:c>
      <x:c r="I12" s="10" t="inlineStr">
        <x:is>
          <x:t xml:space="preserve">ADR-007 (DEC-011, #97): Request fields and updatedAt, indexed on requesterId</x:t>
        </x:is>
      </x:c>
      <x:c r="J12" s="10" t="inlineStr">
        <x:is>
          <x:t xml:space="preserve">ADR-006 (DEC-014): own-requests scope</x:t>
        </x:is>
      </x:c>
      <x:c r="K12" s="10" t="inlineStr">
        <x:is>
          <x:t xml:space="preserve">ADR-002 (DEC-008, #91): Node.js 24, Express 5, Prisma 7 on PostgreSQL</x:t>
        </x:is>
      </x:c>
      <x:c r="L12" s="10" t="inlineStr">
        <x:is>
          <x:t xml:space="preserve">Scope in src/modules/authorisation-policy/policy.js (#94, merged). List not yet implemented</x:t>
        </x:is>
      </x:c>
      <x:c r="M12" s="10" t="inlineStr">
        <x:is>
          <x:t xml:space="preserve">Scope tested in tests/authorisation-policy.test.js (#94). List planned (M3)</x:t>
        </x:is>
      </x:c>
      <x:c r="N12" s="10" t="inlineStr">
        <x:is>
          <x:t xml:space="preserve">ADR-006</x:t>
        </x:is>
      </x:c>
      <x:c r="O12" s="10" t="s">
        <x:v>181</x:v>
      </x:c>
    </x:row>
    <x:row r="13" ht="47.599998474121094" hidden="0">
      <x:c r="A13" s="9" t="s">
        <x:v>393</x:v>
      </x:c>
      <x:c r="B13" s="9" t="s">
        <x:v>214</x:v>
      </x:c>
      <x:c r="C13" s="9" t="s">
        <x:v>212</x:v>
      </x:c>
      <x:c r="D13" s="9" t="s">
        <x:v>394</x:v>
      </x:c>
      <x:c r="E13" s="9" t="s">
        <x:v>179</x:v>
      </x:c>
      <x:c r="F13" s="9" t="s">
        <x:v>376</x:v>
      </x:c>
      <x:c r="G13" s="9" t="inlineStr">
        <x:is>
          <x:t xml:space="preserve">ASR-01 server-side authorisation with record-level scope</x:t>
        </x:is>
      </x:c>
      <x:c r="H13" s="9" t="inlineStr">
        <x:is>
          <x:t xml:space="preserve">Request access and queue, with the Authorisation policy</x:t>
        </x:is>
      </x:c>
      <x:c r="I13" s="9" t="inlineStr">
        <x:is>
          <x:t xml:space="preserve">ADR-007 (DEC-011, #97): Status history, and ActionEntry with an explicit visibility</x:t>
        </x:is>
      </x:c>
      <x:c r="J13" s="9" t="inlineStr">
        <x:is>
          <x:t xml:space="preserve">ADR-006 (DEC-014): actionEntryScope limits a Requester to requester-visible entries</x:t>
        </x:is>
      </x:c>
      <x:c r="K13" s="9" t="inlineStr">
        <x:is>
          <x:t xml:space="preserve">ADR-002 (DEC-008, #91): Node.js 24, Express 5, Prisma 7 on PostgreSQL</x:t>
        </x:is>
      </x:c>
      <x:c r="L13" s="9" t="inlineStr">
        <x:is>
          <x:t xml:space="preserve">Scope in src/modules/authorisation-policy/policy.js (#94, merged). Detail view not yet implemented</x:t>
        </x:is>
      </x:c>
      <x:c r="M13" s="9" t="inlineStr">
        <x:is>
          <x:t xml:space="preserve">tests/authorisation-policy.test.js (#94). The payload negative test is planned (M3)</x:t>
        </x:is>
      </x:c>
      <x:c r="N13" s="9" t="inlineStr">
        <x:is>
          <x:t xml:space="preserve">RSK-05, FEC-01, DEC-003, ADR-006</x:t>
        </x:is>
      </x:c>
      <x:c r="O13" s="9" t="s">
        <x:v>181</x:v>
      </x:c>
    </x:row>
    <x:row r="14" ht="47.599998474121094" hidden="0">
      <x:c r="A14" s="10" t="s">
        <x:v>395</x:v>
      </x:c>
      <x:c r="B14" s="10" t="s">
        <x:v>218</x:v>
      </x:c>
      <x:c r="C14" s="10" t="s">
        <x:v>216</x:v>
      </x:c>
      <x:c r="D14" s="10" t="s">
        <x:v>217</x:v>
      </x:c>
      <x:c r="E14" s="10" t="s">
        <x:v>179</x:v>
      </x:c>
      <x:c r="F14" s="10" t="s">
        <x:v>376</x:v>
      </x:c>
      <x:c r="G14" s="10" t="inlineStr">
        <x:is>
          <x:t xml:space="preserve">ASR-01 server-side authorisation with record-level scope</x:t>
        </x:is>
      </x:c>
      <x:c r="H14" s="10" t="inlineStr">
        <x:is>
          <x:t xml:space="preserve">Request access and queue, with the Authorisation policy</x:t>
        </x:is>
      </x:c>
      <x:c r="I14" s="10" t="inlineStr">
        <x:is>
          <x:t xml:space="preserve">ADR-007 (DEC-011, #97): requesterId, the field the scope condition filters</x:t>
        </x:is>
      </x:c>
      <x:c r="J14" s="10" t="inlineStr">
        <x:is>
          <x:t xml:space="preserve">ADR-006 (DEC-014): ownRequests scope applied inside every request query</x:t>
        </x:is>
      </x:c>
      <x:c r="K14" s="10" t="inlineStr">
        <x:is>
          <x:t xml:space="preserve">ADR-002 (DEC-008, #91): Node.js 24, Express 5, Prisma 7 on PostgreSQL</x:t>
        </x:is>
      </x:c>
      <x:c r="L14" s="10" t="inlineStr">
        <x:is>
          <x:t xml:space="preserve">src/modules/authorisation-policy/policy.js (#94, merged)</x:t>
        </x:is>
      </x:c>
      <x:c r="M14" s="10" t="inlineStr">
        <x:is>
          <x:t xml:space="preserve">tests/authorisation-policy.test.js (#94): the query condition and the single-request check select the same requests. Endpoint negative test planned (M3)</x:t>
        </x:is>
      </x:c>
      <x:c r="N14" s="10" t="inlineStr">
        <x:is>
          <x:t xml:space="preserve">RSK-05, FEC-01, ADR-006</x:t>
        </x:is>
      </x:c>
      <x:c r="O14" s="10" t="s">
        <x:v>181</x:v>
      </x:c>
    </x:row>
    <x:row r="15" ht="59.5" hidden="0">
      <x:c r="A15" s="9" t="s">
        <x:v>396</x:v>
      </x:c>
      <x:c r="B15" s="9" t="s">
        <x:v>222</x:v>
      </x:c>
      <x:c r="C15" s="9" t="s">
        <x:v>220</x:v>
      </x:c>
      <x:c r="D15" s="9" t="s">
        <x:v>221</x:v>
      </x:c>
      <x:c r="E15" s="9" t="s">
        <x:v>179</x:v>
      </x:c>
      <x:c r="F15" s="9" t="s">
        <x:v>376</x:v>
      </x:c>
      <x:c r="G15" s="9" t="inlineStr">
        <x:is>
          <x:t xml:space="preserve">ASR-01 server-side authorisation with record-level scope; ASR-02 queue, reporting and submission responsiveness</x:t>
        </x:is>
      </x:c>
      <x:c r="H15" s="9" t="inlineStr">
        <x:is>
          <x:t xml:space="preserve">Request access and queue, with the Authorisation policy</x:t>
        </x:is>
      </x:c>
      <x:c r="I15" s="9" t="inlineStr">
        <x:is>
          <x:t xml:space="preserve">ADR-007 (DEC-011, #97): categoryId and UserCategory, indexed on category and status</x:t>
        </x:is>
      </x:c>
      <x:c r="J15" s="9" t="inlineStr">
        <x:is>
          <x:t xml:space="preserve">ADR-006 (DEC-014): category scope</x:t>
        </x:is>
      </x:c>
      <x:c r="K15" s="9" t="inlineStr">
        <x:is>
          <x:t xml:space="preserve">ADR-002 (DEC-008, #91): Node.js 24, Express 5, Prisma 7 on PostgreSQL</x:t>
        </x:is>
      </x:c>
      <x:c r="L15" s="9" t="inlineStr">
        <x:is>
          <x:t xml:space="preserve">src/modules/authorisation-policy/policy.js (#94, merged)</x:t>
        </x:is>
      </x:c>
      <x:c r="M15" s="9" t="inlineStr">
        <x:is>
          <x:t xml:space="preserve">tests/authorisation-policy.test.js (#94). Queue planned (M3)</x:t>
        </x:is>
      </x:c>
      <x:c r="N15" s="9" t="inlineStr">
        <x:is>
          <x:t xml:space="preserve">FEC-01, ADR-006</x:t>
        </x:is>
      </x:c>
      <x:c r="O15" s="9" t="s">
        <x:v>181</x:v>
      </x:c>
    </x:row>
    <x:row r="16" ht="47.599998474121094" hidden="0">
      <x:c r="A16" s="10" t="s">
        <x:v>397</x:v>
      </x:c>
      <x:c r="B16" s="10" t="s">
        <x:v>222</x:v>
      </x:c>
      <x:c r="C16" s="10" t="s">
        <x:v>224</x:v>
      </x:c>
      <x:c r="D16" s="10" t="s">
        <x:v>398</x:v>
      </x:c>
      <x:c r="E16" s="10" t="s">
        <x:v>179</x:v>
      </x:c>
      <x:c r="F16" s="10" t="s">
        <x:v>376</x:v>
      </x:c>
      <x:c r="G16" s="10" t="inlineStr">
        <x:is>
          <x:t xml:space="preserve">ASR-02 queue, reporting and submission responsiveness</x:t>
        </x:is>
      </x:c>
      <x:c r="H16" s="10" t="inlineStr">
        <x:is>
          <x:t xml:space="preserve">Request access and queue</x:t>
        </x:is>
      </x:c>
      <x:c r="I16" s="10" t="inlineStr">
        <x:is>
          <x:t xml:space="preserve">ADR-007 (DEC-011, #97): Indexes on status, category, assignee and createdAt. Keyword search not yet designed</x:t>
        </x:is>
      </x:c>
      <x:c r="J16" s="10" t="inlineStr">
        <x:is>
          <x:t xml:space="preserve">Not yet designed</x:t>
        </x:is>
      </x:c>
      <x:c r="K16" s="10" t="inlineStr">
        <x:is>
          <x:t xml:space="preserve">ADR-002 (DEC-008, #91): Node.js 24, Express 5, Prisma 7 on PostgreSQL</x:t>
        </x:is>
      </x:c>
      <x:c r="L16" s="10" t="inlineStr">
        <x:is>
          <x:t xml:space="preserve">Not yet implemented</x:t>
        </x:is>
      </x:c>
      <x:c r="M16" s="10" t="inlineStr">
        <x:is>
          <x:t xml:space="preserve">Planned (M3)</x:t>
        </x:is>
      </x:c>
      <x:c r="N16" s="10" t="inlineStr">
        <x:is>
          <x:t xml:space="preserve">FEC-06, ADR-007</x:t>
        </x:is>
      </x:c>
      <x:c r="O16" s="10" t="s">
        <x:v>181</x:v>
      </x:c>
    </x:row>
    <x:row r="17" ht="47.599998474121094" hidden="0">
      <x:c r="A17" s="9" t="s">
        <x:v>399</x:v>
      </x:c>
      <x:c r="B17" s="9" t="s">
        <x:v>52</x:v>
      </x:c>
      <x:c r="C17" s="9" t="s">
        <x:v>110</x:v>
      </x:c>
      <x:c r="D17" s="9" t="s">
        <x:v>400</x:v>
      </x:c>
      <x:c r="E17" s="9" t="s">
        <x:v>179</x:v>
      </x:c>
      <x:c r="F17" s="9" t="s">
        <x:v>376</x:v>
      </x:c>
      <x:c r="G17" s="9" t="inlineStr">
        <x:is>
          <x:t xml:space="preserve">None. Not cited by ASR-01 to ASR-06</x:t>
        </x:is>
      </x:c>
      <x:c r="H17" s="9" t="inlineStr">
        <x:is>
          <x:t xml:space="preserve">Workflow and status, with the Authorisation policy</x:t>
        </x:is>
      </x:c>
      <x:c r="I17" s="9" t="inlineStr">
        <x:is>
          <x:t xml:space="preserve">ADR-007 (DEC-011, #97): assigneeId on Request</x:t>
        </x:is>
      </x:c>
      <x:c r="J17" s="9" t="inlineStr">
        <x:is>
          <x:t xml:space="preserve">ADR-005 (DEC-013): New to Assigned and New to In Progress in the transition table. ADR-006 (DEC-014): category scope for accepting</x:t>
        </x:is>
      </x:c>
      <x:c r="K17" s="9" t="inlineStr">
        <x:is>
          <x:t xml:space="preserve">ADR-002 (DEC-008, #91): Node.js 24, Express 5, Prisma 7 on PostgreSQL</x:t>
        </x:is>
      </x:c>
      <x:c r="L17" s="9" t="inlineStr">
        <x:is>
          <x:t xml:space="preserve">src/modules/workflow-status/transition-table.js and transitions.js (#93, merged); src/modules/authorisation-policy/policy.js (#94, merged)</x:t>
        </x:is>
      </x:c>
      <x:c r="M17" s="9" t="inlineStr">
        <x:is>
          <x:t xml:space="preserve">tests/workflow-status.test.js (#93) and tests/authorisation-policy.test.js (#94). Endpoint tests planned (M3)</x:t>
        </x:is>
      </x:c>
      <x:c r="N17" s="9" t="inlineStr">
        <x:is>
          <x:t xml:space="preserve">ADR-005, ADR-006, CR-002 (#92)</x:t>
        </x:is>
      </x:c>
      <x:c r="O17" s="9" t="s">
        <x:v>181</x:v>
      </x:c>
    </x:row>
    <x:row r="18" ht="71.4000015258789" hidden="0">
      <x:c r="A18" s="10" t="s">
        <x:v>401</x:v>
      </x:c>
      <x:c r="B18" s="10" t="s">
        <x:v>231</x:v>
      </x:c>
      <x:c r="C18" s="10" t="s">
        <x:v>229</x:v>
      </x:c>
      <x:c r="D18" s="10" t="s">
        <x:v>402</x:v>
      </x:c>
      <x:c r="E18" s="10" t="s">
        <x:v>179</x:v>
      </x:c>
      <x:c r="F18" s="10" t="s">
        <x:v>376</x:v>
      </x:c>
      <x:c r="G18" s="10" t="inlineStr">
        <x:is>
          <x:t xml:space="preserve">ASR-03 auditability of every status change, with ASR-01 for the role check</x:t>
        </x:is>
      </x:c>
      <x:c r="H18" s="10" t="inlineStr">
        <x:is>
          <x:t xml:space="preserve">Workflow and status (src/modules/workflow-status), with its roles evaluated by the Authorisation policy (ADR-001 rules 2 and 3)</x:t>
        </x:is>
      </x:c>
      <x:c r="I18" s="10" t="inlineStr">
        <x:is>
          <x:t xml:space="preserve">ADR-007 (DEC-011, #97): Request.status, a RequestStatusHistory row and one AuditEntry, written in one transaction (ADR-001 rule 3)</x:t>
        </x:is>
      </x:c>
      <x:c r="J18" s="10" t="inlineStr">
        <x:is>
          <x:t xml:space="preserve">ADR-005 (DEC-013): declarative transition table with Strategy guards. ADR-006 (DEC-014) authorises each move</x:t>
        </x:is>
      </x:c>
      <x:c r="K18" s="10" t="inlineStr">
        <x:is>
          <x:t xml:space="preserve">ADR-002 (DEC-008, #91): Node.js 24, tested with node:test</x:t>
        </x:is>
      </x:c>
      <x:c r="L18" s="10" t="inlineStr">
        <x:is>
          <x:t xml:space="preserve">src/modules/workflow-status/transition-table.js and transitions.js (#93, merged 29 September 2026)</x:t>
        </x:is>
      </x:c>
      <x:c r="M18" s="10" t="inlineStr">
        <x:is>
          <x:t xml:space="preserve">tests/workflow-status.test.js: all 196 combinations of status pair and role against a fixture exported from the Status Model register; three deliberate faults each failed the suite (#93). Refusal at the endpoint planned (M3)</x:t>
        </x:is>
      </x:c>
      <x:c r="N18" s="10" t="inlineStr">
        <x:is>
          <x:t xml:space="preserve">RSK-09, FEC-02, ADR-001, ADR-005, ADR-006, CR-002 (#92)</x:t>
        </x:is>
      </x:c>
      <x:c r="O18" s="10" t="s">
        <x:v>181</x:v>
      </x:c>
    </x:row>
    <x:row r="19" ht="47.599998474121094" hidden="0">
      <x:c r="A19" s="9" t="s">
        <x:v>403</x:v>
      </x:c>
      <x:c r="B19" s="9" t="s">
        <x:v>46</x:v>
      </x:c>
      <x:c r="C19" s="9" t="s">
        <x:v>116</x:v>
      </x:c>
      <x:c r="D19" s="9" t="s">
        <x:v>404</x:v>
      </x:c>
      <x:c r="E19" s="9" t="s">
        <x:v>179</x:v>
      </x:c>
      <x:c r="F19" s="9" t="s">
        <x:v>376</x:v>
      </x:c>
      <x:c r="G19" s="9" t="inlineStr">
        <x:is>
          <x:t xml:space="preserve">None. Not cited by ASR-01 to ASR-06</x:t>
        </x:is>
      </x:c>
      <x:c r="H19" s="9" t="inlineStr">
        <x:is>
          <x:t xml:space="preserve">Workflow and status, with the Authorisation policy</x:t>
        </x:is>
      </x:c>
      <x:c r="I19" s="9" t="inlineStr">
        <x:is>
          <x:t xml:space="preserve">ADR-007 (DEC-011, #97): ActionEntry, whose visibility is required with no default and limited to internal or requester-visible</x:t>
        </x:is>
      </x:c>
      <x:c r="J19" s="9" t="inlineStr">
        <x:is>
          <x:t xml:space="preserve">ADR-006 (DEC-014): actionEntryScope. DEC-003: visibility chosen per entry with no default</x:t>
        </x:is>
      </x:c>
      <x:c r="K19" s="9" t="inlineStr">
        <x:is>
          <x:t xml:space="preserve">ADR-002 (DEC-008, #91): Node.js 24, Express 5, Prisma 7 on PostgreSQL</x:t>
        </x:is>
      </x:c>
      <x:c r="L19" s="9" t="inlineStr">
        <x:is>
          <x:t xml:space="preserve">Scope in src/modules/authorisation-policy/policy.js (#94, merged). Recording not yet implemented</x:t>
        </x:is>
      </x:c>
      <x:c r="M19" s="9" t="inlineStr">
        <x:is>
          <x:t xml:space="preserve">Scope tested in tests/authorisation-policy.test.js (#94). Recording planned (M3)</x:t>
        </x:is>
      </x:c>
      <x:c r="N19" s="9" t="inlineStr">
        <x:is>
          <x:t xml:space="preserve">RSK-05, DEC-003, ADR-006</x:t>
        </x:is>
      </x:c>
      <x:c r="O19" s="9" t="s">
        <x:v>181</x:v>
      </x:c>
    </x:row>
    <x:row r="20" ht="35.70000076293945" hidden="0">
      <x:c r="A20" s="10" t="s">
        <x:v>405</x:v>
      </x:c>
      <x:c r="B20" s="10" t="s">
        <x:v>231</x:v>
      </x:c>
      <x:c r="C20" s="10" t="s">
        <x:v>235</x:v>
      </x:c>
      <x:c r="D20" s="10" t="s">
        <x:v>236</x:v>
      </x:c>
      <x:c r="E20" s="10" t="s">
        <x:v>179</x:v>
      </x:c>
      <x:c r="F20" s="10" t="s">
        <x:v>376</x:v>
      </x:c>
      <x:c r="G20" s="10" t="inlineStr">
        <x:is>
          <x:t xml:space="preserve">ASR-03 auditability of every status, assignee and priority change</x:t>
        </x:is>
      </x:c>
      <x:c r="H20" s="10" t="inlineStr">
        <x:is>
          <x:t xml:space="preserve">Workflow and status</x:t>
        </x:is>
      </x:c>
      <x:c r="I20" s="10" t="inlineStr">
        <x:is>
          <x:t xml:space="preserve">ADR-007 (DEC-011, #97): resolutionSummary on Request, shown to the Requester once recorded</x:t>
        </x:is>
      </x:c>
      <x:c r="J20" s="10" t="inlineStr">
        <x:is>
          <x:t xml:space="preserve">ADR-005 (DEC-013): resolution-summary guard on In Progress to Resolved</x:t>
        </x:is>
      </x:c>
      <x:c r="K20" s="10" t="inlineStr">
        <x:is>
          <x:t xml:space="preserve">ADR-002 (DEC-008, #91): Node.js 24, Express 5, Prisma 7 on PostgreSQL</x:t>
        </x:is>
      </x:c>
      <x:c r="L20" s="10" t="inlineStr">
        <x:is>
          <x:t xml:space="preserve">src/modules/workflow-status/transition-table.js and transitions.js (#93, merged)</x:t>
        </x:is>
      </x:c>
      <x:c r="M20" s="10" t="inlineStr">
        <x:is>
          <x:t xml:space="preserve">tests/workflow-status.test.js (#93)</x:t>
        </x:is>
      </x:c>
      <x:c r="N20" s="10" t="inlineStr">
        <x:is>
          <x:t xml:space="preserve">ADR-005</x:t>
        </x:is>
      </x:c>
      <x:c r="O20" s="10" t="s">
        <x:v>181</x:v>
      </x:c>
    </x:row>
    <x:row r="21" ht="35.70000076293945" hidden="0">
      <x:c r="A21" s="9" t="s">
        <x:v>406</x:v>
      </x:c>
      <x:c r="B21" s="9" t="s">
        <x:v>52</x:v>
      </x:c>
      <x:c r="C21" s="9" t="s">
        <x:v>238</x:v>
      </x:c>
      <x:c r="D21" s="9" t="s">
        <x:v>239</x:v>
      </x:c>
      <x:c r="E21" s="9" t="s">
        <x:v>191</x:v>
      </x:c>
      <x:c r="F21" s="9" t="s">
        <x:v>376</x:v>
      </x:c>
      <x:c r="G21" s="9" t="inlineStr">
        <x:is>
          <x:t xml:space="preserve">ASR-03 auditability of every status, assignee and priority change</x:t>
        </x:is>
      </x:c>
      <x:c r="H21" s="9" t="inlineStr">
        <x:is>
          <x:t xml:space="preserve">Workflow and status</x:t>
        </x:is>
      </x:c>
      <x:c r="I21" s="9" t="inlineStr">
        <x:is>
          <x:t xml:space="preserve">ADR-007 (DEC-011, #97): Status history</x:t>
        </x:is>
      </x:c>
      <x:c r="J21" s="9" t="inlineStr">
        <x:is>
          <x:t xml:space="preserve">ADR-005 (DEC-013): Resolved to Closed limited to the Coordinator and Manager</x:t>
        </x:is>
      </x:c>
      <x:c r="K21" s="9" t="inlineStr">
        <x:is>
          <x:t xml:space="preserve">ADR-002 (DEC-008, #91): Node.js 24, Express 5, Prisma 7 on PostgreSQL</x:t>
        </x:is>
      </x:c>
      <x:c r="L21" s="9" t="inlineStr">
        <x:is>
          <x:t xml:space="preserve">src/modules/workflow-status/transition-table.js and transitions.js (#93, merged)</x:t>
        </x:is>
      </x:c>
      <x:c r="M21" s="9" t="inlineStr">
        <x:is>
          <x:t xml:space="preserve">tests/workflow-status.test.js (#93)</x:t>
        </x:is>
      </x:c>
      <x:c r="N21" s="9" t="inlineStr">
        <x:is>
          <x:t xml:space="preserve">ADR-005</x:t>
        </x:is>
      </x:c>
      <x:c r="O21" s="9" t="s">
        <x:v>181</x:v>
      </x:c>
    </x:row>
    <x:row r="22" ht="35.70000076293945" hidden="0">
      <x:c r="A22" s="10" t="s">
        <x:v>407</x:v>
      </x:c>
      <x:c r="B22" s="10" t="s">
        <x:v>243</x:v>
      </x:c>
      <x:c r="C22" s="10" t="s">
        <x:v>241</x:v>
      </x:c>
      <x:c r="D22" s="10" t="s">
        <x:v>242</x:v>
      </x:c>
      <x:c r="E22" s="10" t="s">
        <x:v>191</x:v>
      </x:c>
      <x:c r="F22" s="10" t="s">
        <x:v>376</x:v>
      </x:c>
      <x:c r="G22" s="10" t="inlineStr">
        <x:is>
          <x:t xml:space="preserve">ASR-03 auditability of every status, assignee and priority change</x:t>
        </x:is>
      </x:c>
      <x:c r="H22" s="10" t="inlineStr">
        <x:is>
          <x:t xml:space="preserve">Workflow and status</x:t>
        </x:is>
      </x:c>
      <x:c r="I22" s="10" t="inlineStr">
        <x:is>
          <x:t xml:space="preserve">ADR-007 (DEC-011, #97): Rejection reason stored on the status-history row</x:t>
        </x:is>
      </x:c>
      <x:c r="J22" s="10" t="inlineStr">
        <x:is>
          <x:t xml:space="preserve">ADR-005 (DEC-013): rejection-reason guard. ADR-006 (DEC-014) authorises the Coordinator</x:t>
        </x:is>
      </x:c>
      <x:c r="K22" s="10" t="inlineStr">
        <x:is>
          <x:t xml:space="preserve">ADR-002 (DEC-008, #91): Node.js 24, Express 5, Prisma 7 on PostgreSQL</x:t>
        </x:is>
      </x:c>
      <x:c r="L22" s="10" t="inlineStr">
        <x:is>
          <x:t xml:space="preserve">src/modules/workflow-status/transition-table.js and transitions.js (#93, merged)</x:t>
        </x:is>
      </x:c>
      <x:c r="M22" s="10" t="inlineStr">
        <x:is>
          <x:t xml:space="preserve">tests/workflow-status.test.js (#93)</x:t>
        </x:is>
      </x:c>
      <x:c r="N22" s="10" t="inlineStr">
        <x:is>
          <x:t xml:space="preserve">ADR-005, ADR-006, CR-002 (#92)</x:t>
        </x:is>
      </x:c>
      <x:c r="O22" s="10" t="s">
        <x:v>181</x:v>
      </x:c>
    </x:row>
    <x:row r="23" ht="47.599998474121094" hidden="0">
      <x:c r="A23" s="9" t="s">
        <x:v>408</x:v>
      </x:c>
      <x:c r="B23" s="9" t="s">
        <x:v>204</x:v>
      </x:c>
      <x:c r="C23" s="9" t="s">
        <x:v>119</x:v>
      </x:c>
      <x:c r="D23" s="9" t="s">
        <x:v>409</x:v>
      </x:c>
      <x:c r="E23" s="9" t="s">
        <x:v>179</x:v>
      </x:c>
      <x:c r="F23" s="9" t="s">
        <x:v>376</x:v>
      </x:c>
      <x:c r="G23" s="9" t="inlineStr">
        <x:is>
          <x:t xml:space="preserve">ASR-03 auditability of every status, assignee and priority change</x:t>
        </x:is>
      </x:c>
      <x:c r="H23" s="9" t="inlineStr">
        <x:is>
          <x:t xml:space="preserve">Workflow and status, with the Authorisation policy</x:t>
        </x:is>
      </x:c>
      <x:c r="I23" s="9" t="inlineStr">
        <x:is>
          <x:t xml:space="preserve">ADR-007 (DEC-011, #97): Priority nullable until set, and reportedUrgency as a separate field staff cannot edit</x:t>
        </x:is>
      </x:c>
      <x:c r="J23" s="9" t="inlineStr">
        <x:is>
          <x:t xml:space="preserve">ADR-006 (DEC-014): setPriority permitted to the Coordinator only</x:t>
        </x:is>
      </x:c>
      <x:c r="K23" s="9" t="inlineStr">
        <x:is>
          <x:t xml:space="preserve">ADR-002 (DEC-008, #91): Node.js 24, Express 5, Prisma 7 on PostgreSQL</x:t>
        </x:is>
      </x:c>
      <x:c r="L23" s="9" t="inlineStr">
        <x:is>
          <x:t xml:space="preserve">src/modules/authorisation-policy/policy.js (#94, merged). Priority change not yet implemented</x:t>
        </x:is>
      </x:c>
      <x:c r="M23" s="9" t="inlineStr">
        <x:is>
          <x:t xml:space="preserve">tests/authorisation-policy.test.js (#94). Priority change planned (M3)</x:t>
        </x:is>
      </x:c>
      <x:c r="N23" s="9" t="inlineStr">
        <x:is>
          <x:t xml:space="preserve">DEC-002, ADR-006, CR-002 (#92)</x:t>
        </x:is>
      </x:c>
      <x:c r="O23" s="9" t="s">
        <x:v>181</x:v>
      </x:c>
    </x:row>
    <x:row r="24" ht="35.70000076293945" hidden="0">
      <x:c r="A24" s="10" t="s">
        <x:v>410</x:v>
      </x:c>
      <x:c r="B24" s="10" t="s">
        <x:v>57</x:v>
      </x:c>
      <x:c r="C24" s="10" t="s">
        <x:v>247</x:v>
      </x:c>
      <x:c r="D24" s="10" t="s">
        <x:v>248</x:v>
      </x:c>
      <x:c r="E24" s="10" t="s">
        <x:v>179</x:v>
      </x:c>
      <x:c r="F24" s="10" t="s">
        <x:v>376</x:v>
      </x:c>
      <x:c r="G24" s="10" t="inlineStr">
        <x:is>
          <x:t xml:space="preserve">ASR-02 queue, reporting and submission responsiveness</x:t>
        </x:is>
      </x:c>
      <x:c r="H24" s="10" t="inlineStr">
        <x:is>
          <x:t xml:space="preserve">Reporting</x:t>
        </x:is>
      </x:c>
      <x:c r="I24" s="10" t="inlineStr">
        <x:is>
          <x:t xml:space="preserve">Reads the transactional store for now (ADR-001, FEC-06). Overdue is derived from age</x:t>
        </x:is>
      </x:c>
      <x:c r="J24" s="10" t="inlineStr">
        <x:is>
          <x:t xml:space="preserve">Not yet designed</x:t>
        </x:is>
      </x:c>
      <x:c r="K24" s="10" t="inlineStr">
        <x:is>
          <x:t xml:space="preserve">ADR-002 (DEC-008, #91): Node.js 24, Express 5, Prisma 7 on PostgreSQL</x:t>
        </x:is>
      </x:c>
      <x:c r="L24" s="10" t="inlineStr">
        <x:is>
          <x:t xml:space="preserve">Not yet implemented</x:t>
        </x:is>
      </x:c>
      <x:c r="M24" s="10" t="inlineStr">
        <x:is>
          <x:t xml:space="preserve">Planned (M3)</x:t>
        </x:is>
      </x:c>
      <x:c r="N24" s="10" t="inlineStr">
        <x:is>
          <x:t xml:space="preserve">RSK-09, FEC-02, FEC-06, ADR-001</x:t>
        </x:is>
      </x:c>
      <x:c r="O24" s="10" t="s">
        <x:v>181</x:v>
      </x:c>
    </x:row>
    <x:row r="25" ht="35.70000076293945" hidden="0">
      <x:c r="A25" s="9" t="s">
        <x:v>411</x:v>
      </x:c>
      <x:c r="B25" s="9" t="s">
        <x:v>57</x:v>
      </x:c>
      <x:c r="C25" s="9" t="s">
        <x:v>250</x:v>
      </x:c>
      <x:c r="D25" s="9" t="s">
        <x:v>251</x:v>
      </x:c>
      <x:c r="E25" s="9" t="s">
        <x:v>191</x:v>
      </x:c>
      <x:c r="F25" s="9" t="s">
        <x:v>376</x:v>
      </x:c>
      <x:c r="G25" s="9" t="inlineStr">
        <x:is>
          <x:t xml:space="preserve">ASR-02 queue, reporting and submission responsiveness</x:t>
        </x:is>
      </x:c>
      <x:c r="H25" s="9" t="inlineStr">
        <x:is>
          <x:t xml:space="preserve">Reporting</x:t>
        </x:is>
      </x:c>
      <x:c r="I25" s="9" t="inlineStr">
        <x:is>
          <x:t xml:space="preserve">Reads the transactional store for now (ADR-001, FEC-06)</x:t>
        </x:is>
      </x:c>
      <x:c r="J25" s="9" t="inlineStr">
        <x:is>
          <x:t xml:space="preserve">Not yet designed</x:t>
        </x:is>
      </x:c>
      <x:c r="K25" s="9" t="inlineStr">
        <x:is>
          <x:t xml:space="preserve">ADR-002 (DEC-008, #91): Node.js 24, Express 5, Prisma 7 on PostgreSQL</x:t>
        </x:is>
      </x:c>
      <x:c r="L25" s="9" t="inlineStr">
        <x:is>
          <x:t xml:space="preserve">Not yet implemented</x:t>
        </x:is>
      </x:c>
      <x:c r="M25" s="9" t="inlineStr">
        <x:is>
          <x:t xml:space="preserve">Planned (M3)</x:t>
        </x:is>
      </x:c>
      <x:c r="N25" s="9" t="inlineStr">
        <x:is>
          <x:t xml:space="preserve">FEC-06, ADR-001</x:t>
        </x:is>
      </x:c>
      <x:c r="O25" s="9" t="s">
        <x:v>181</x:v>
      </x:c>
    </x:row>
    <x:row r="26" ht="35.70000076293945" hidden="0">
      <x:c r="A26" s="10" t="s">
        <x:v>412</x:v>
      </x:c>
      <x:c r="B26" s="10" t="s">
        <x:v>231</x:v>
      </x:c>
      <x:c r="C26" s="10" t="s">
        <x:v>253</x:v>
      </x:c>
      <x:c r="D26" s="10" t="s">
        <x:v>254</x:v>
      </x:c>
      <x:c r="E26" s="10" t="s">
        <x:v>191</x:v>
      </x:c>
      <x:c r="F26" s="10" t="s">
        <x:v>376</x:v>
      </x:c>
      <x:c r="G26" s="10" t="inlineStr">
        <x:is>
          <x:t xml:space="preserve">ASR-02 queue, reporting and submission responsiveness</x:t>
        </x:is>
      </x:c>
      <x:c r="H26" s="10" t="inlineStr">
        <x:is>
          <x:t xml:space="preserve">Reporting</x:t>
        </x:is>
      </x:c>
      <x:c r="I26" s="10" t="inlineStr">
        <x:is>
          <x:t xml:space="preserve">Overdue derived from age against the response target. Assignee held on Request</x:t>
        </x:is>
      </x:c>
      <x:c r="J26" s="10" t="inlineStr">
        <x:is>
          <x:t xml:space="preserve">Not yet designed</x:t>
        </x:is>
      </x:c>
      <x:c r="K26" s="10" t="inlineStr">
        <x:is>
          <x:t xml:space="preserve">ADR-002 (DEC-008, #91): Node.js 24, Express 5, Prisma 7 on PostgreSQL</x:t>
        </x:is>
      </x:c>
      <x:c r="L26" s="10" t="inlineStr">
        <x:is>
          <x:t xml:space="preserve">Not yet implemented</x:t>
        </x:is>
      </x:c>
      <x:c r="M26" s="10" t="inlineStr">
        <x:is>
          <x:t xml:space="preserve">Planned (M3)</x:t>
        </x:is>
      </x:c>
      <x:c r="N26" s="10" t="inlineStr">
        <x:is>
          <x:t xml:space="preserve">FEC-02, ADR-001</x:t>
        </x:is>
      </x:c>
      <x:c r="O26" s="10" t="s">
        <x:v>181</x:v>
      </x:c>
    </x:row>
    <x:row r="27" ht="35.70000076293945" hidden="0">
      <x:c r="A27" s="9" t="s">
        <x:v>413</x:v>
      </x:c>
      <x:c r="B27" s="9" t="s">
        <x:v>258</x:v>
      </x:c>
      <x:c r="C27" s="9" t="s">
        <x:v>256</x:v>
      </x:c>
      <x:c r="D27" s="9" t="s">
        <x:v>414</x:v>
      </x:c>
      <x:c r="E27" s="9" t="s">
        <x:v>179</x:v>
      </x:c>
      <x:c r="F27" s="9" t="s">
        <x:v>376</x:v>
      </x:c>
      <x:c r="G27" s="9" t="inlineStr">
        <x:is>
          <x:t xml:space="preserve">ASR-03 auditability of every status, assignee and priority change</x:t>
        </x:is>
      </x:c>
      <x:c r="H27" s="9" t="inlineStr">
        <x:is>
          <x:t xml:space="preserve">Audit, written with each change in one transaction (ADR-001 rule 3)</x:t>
        </x:is>
      </x:c>
      <x:c r="I27" s="9" t="inlineStr">
        <x:is>
          <x:t xml:space="preserve">ADR-007 (DEC-011, #97): AuditEntry with the field changed, the previous value and the new value, one per change</x:t>
        </x:is>
      </x:c>
      <x:c r="J27" s="9" t="inlineStr">
        <x:is>
          <x:t xml:space="preserve">ADR-001 rule 3: a change and its audit entry commit in one transaction</x:t>
        </x:is>
      </x:c>
      <x:c r="K27" s="9" t="inlineStr">
        <x:is>
          <x:t xml:space="preserve">ADR-002 (DEC-008, #91): Node.js 24, Express 5, Prisma 7 on PostgreSQL</x:t>
        </x:is>
      </x:c>
      <x:c r="L27" s="9" t="inlineStr">
        <x:is>
          <x:t xml:space="preserve">Not yet implemented</x:t>
        </x:is>
      </x:c>
      <x:c r="M27" s="9" t="inlineStr">
        <x:is>
          <x:t xml:space="preserve">Planned (M3)</x:t>
        </x:is>
      </x:c>
      <x:c r="N27" s="9" t="inlineStr">
        <x:is>
          <x:t xml:space="preserve">ADR-001, ADR-007</x:t>
        </x:is>
      </x:c>
      <x:c r="O27" s="9" t="s">
        <x:v>181</x:v>
      </x:c>
    </x:row>
    <x:row r="28" ht="35.70000076293945" hidden="0">
      <x:c r="A28" s="10" t="s">
        <x:v>415</x:v>
      </x:c>
      <x:c r="B28" s="10" t="s">
        <x:v>258</x:v>
      </x:c>
      <x:c r="C28" s="10" t="s">
        <x:v>260</x:v>
      </x:c>
      <x:c r="D28" s="10" t="s">
        <x:v>261</x:v>
      </x:c>
      <x:c r="E28" s="10" t="s">
        <x:v>179</x:v>
      </x:c>
      <x:c r="F28" s="10" t="s">
        <x:v>376</x:v>
      </x:c>
      <x:c r="G28" s="10" t="inlineStr">
        <x:is>
          <x:t xml:space="preserve">ASR-03 auditability of every status, assignee and priority change</x:t>
        </x:is>
      </x:c>
      <x:c r="H28" s="10" t="inlineStr">
        <x:is>
          <x:t xml:space="preserve">Audit</x:t>
        </x:is>
      </x:c>
      <x:c r="I28" s="10" t="inlineStr">
        <x:is>
          <x:t xml:space="preserve">ADR-007 (DEC-011, #97): Append-only. No update or delete through the application</x:t>
        </x:is>
      </x:c>
      <x:c r="J28" s="10" t="inlineStr">
        <x:is>
          <x:t xml:space="preserve">ADR-006 (DEC-014): no role may edit or delete an audit entry</x:t>
        </x:is>
      </x:c>
      <x:c r="K28" s="10" t="inlineStr">
        <x:is>
          <x:t xml:space="preserve">ADR-002 (DEC-008, #91): Node.js 24, Express 5, Prisma 7 on PostgreSQL</x:t>
        </x:is>
      </x:c>
      <x:c r="L28" s="10" t="inlineStr">
        <x:is>
          <x:t xml:space="preserve">src/modules/authorisation-policy/policy.js (#94, merged)</x:t>
        </x:is>
      </x:c>
      <x:c r="M28" s="10" t="inlineStr">
        <x:is>
          <x:t xml:space="preserve">tests/authorisation-policy.test.js (#94): the Access Matrix row denies every role. Endpoint test planned (M3)</x:t>
        </x:is>
      </x:c>
      <x:c r="N28" s="10" t="inlineStr">
        <x:is>
          <x:t xml:space="preserve">ADR-006</x:t>
        </x:is>
      </x:c>
      <x:c r="O28" s="10" t="s">
        <x:v>181</x:v>
      </x:c>
    </x:row>
    <x:row r="29" ht="35.70000076293945" hidden="0">
      <x:c r="A29" s="9" t="s">
        <x:v>416</x:v>
      </x:c>
      <x:c r="B29" s="9" t="s">
        <x:v>62</x:v>
      </x:c>
      <x:c r="C29" s="9" t="s">
        <x:v>263</x:v>
      </x:c>
      <x:c r="D29" s="9" t="s">
        <x:v>417</x:v>
      </x:c>
      <x:c r="E29" s="9" t="s">
        <x:v>191</x:v>
      </x:c>
      <x:c r="F29" s="9" t="s">
        <x:v>376</x:v>
      </x:c>
      <x:c r="G29" s="9" t="inlineStr">
        <x:is>
          <x:t xml:space="preserve">None. Not cited by ASR-01 to ASR-06</x:t>
        </x:is>
      </x:c>
      <x:c r="H29" s="9" t="inlineStr">
        <x:is>
          <x:t xml:space="preserve">Administration</x:t>
        </x:is>
      </x:c>
      <x:c r="I29" s="9" t="inlineStr">
        <x:is>
          <x:t xml:space="preserve">ADR-007 (DEC-011, #97): Category active flag. Categories are deactivated, not deleted</x:t>
        </x:is>
      </x:c>
      <x:c r="J29" s="9" t="inlineStr">
        <x:is>
          <x:t xml:space="preserve">Not yet designed</x:t>
        </x:is>
      </x:c>
      <x:c r="K29" s="9" t="inlineStr">
        <x:is>
          <x:t xml:space="preserve">ADR-002 (DEC-008, #91): Node.js 24, Express 5, Prisma 7 on PostgreSQL</x:t>
        </x:is>
      </x:c>
      <x:c r="L29" s="9" t="inlineStr">
        <x:is>
          <x:t xml:space="preserve">Not yet implemented</x:t>
        </x:is>
      </x:c>
      <x:c r="M29" s="9" t="inlineStr">
        <x:is>
          <x:t xml:space="preserve">Planned (M3)</x:t>
        </x:is>
      </x:c>
      <x:c r="N29" s="9" t="inlineStr">
        <x:is>
          <x:t xml:space="preserve">ADR-007</x:t>
        </x:is>
      </x:c>
      <x:c r="O29" s="9" t="s">
        <x:v>181</x:v>
      </x:c>
    </x:row>
    <x:row r="30" ht="35.70000076293945" hidden="0">
      <x:c r="A30" s="10" t="s">
        <x:v>418</x:v>
      </x:c>
      <x:c r="B30" s="10" t="s">
        <x:v>62</x:v>
      </x:c>
      <x:c r="C30" s="10" t="s">
        <x:v>266</x:v>
      </x:c>
      <x:c r="D30" s="10" t="s">
        <x:v>419</x:v>
      </x:c>
      <x:c r="E30" s="10" t="s">
        <x:v>268</x:v>
      </x:c>
      <x:c r="F30" s="10" t="s">
        <x:v>376</x:v>
      </x:c>
      <x:c r="G30" s="10" t="inlineStr">
        <x:is>
          <x:t xml:space="preserve">None. Not cited by ASR-01 to ASR-06</x:t>
        </x:is>
      </x:c>
      <x:c r="H30" s="10" t="inlineStr">
        <x:is>
          <x:t xml:space="preserve">Administration</x:t>
        </x:is>
      </x:c>
      <x:c r="I30" s="10" t="inlineStr">
        <x:is>
          <x:t xml:space="preserve">ADR-007 (DEC-011, #97): User active flag</x:t>
        </x:is>
      </x:c>
      <x:c r="J30" s="10" t="inlineStr">
        <x:is>
          <x:t xml:space="preserve">Not yet designed</x:t>
        </x:is>
      </x:c>
      <x:c r="K30" s="10" t="inlineStr">
        <x:is>
          <x:t xml:space="preserve">ADR-002 (DEC-008, #91): Node.js 24, Express 5, Prisma 7 on PostgreSQL</x:t>
        </x:is>
      </x:c>
      <x:c r="L30" s="10" t="inlineStr">
        <x:is>
          <x:t xml:space="preserve">Not yet implemented</x:t>
        </x:is>
      </x:c>
      <x:c r="M30" s="10" t="inlineStr">
        <x:is>
          <x:t xml:space="preserve">Planned (M3)</x:t>
        </x:is>
      </x:c>
      <x:c r="N30" s="10" t="inlineStr">
        <x:is>
          <x:t xml:space="preserve">ADR-007</x:t>
        </x:is>
      </x:c>
      <x:c r="O30" s="10" t="s">
        <x:v>181</x:v>
      </x:c>
    </x:row>
    <x:row r="31" ht="35.70000076293945" hidden="0">
      <x:c r="A31" s="9" t="s">
        <x:v>420</x:v>
      </x:c>
      <x:c r="B31" s="9" t="s">
        <x:v>39</x:v>
      </x:c>
      <x:c r="C31" s="9" t="s">
        <x:v>270</x:v>
      </x:c>
      <x:c r="D31" s="9" t="s">
        <x:v>421</x:v>
      </x:c>
      <x:c r="E31" s="9" t="s">
        <x:v>179</x:v>
      </x:c>
      <x:c r="F31" s="9" t="s">
        <x:v>376</x:v>
      </x:c>
      <x:c r="G31" s="9" t="inlineStr">
        <x:is>
          <x:t xml:space="preserve">None. Not cited by ASR-01 to ASR-06</x:t>
        </x:is>
      </x:c>
      <x:c r="H31" s="9" t="inlineStr">
        <x:is>
          <x:t xml:space="preserve">Notification, through an in-process interface (ADR-001 rule 4)</x:t>
        </x:is>
      </x:c>
      <x:c r="I31" s="9" t="inlineStr">
        <x:is>
          <x:t xml:space="preserve">Derived from RequestStatusHistory and requester-visible ActionEntry rows, with no separate store (ADR-008)</x:t>
        </x:is>
      </x:c>
      <x:c r="J31" s="9" t="inlineStr">
        <x:is>
          <x:t xml:space="preserve">ADR-008 (DEC-015, #98): in-process interface, with indications derived from persisted evidence</x:t>
        </x:is>
      </x:c>
      <x:c r="K31" s="9" t="inlineStr">
        <x:is>
          <x:t xml:space="preserve">ADR-002 (DEC-008, #91): Node.js 24, Express 5, Prisma 7 on PostgreSQL</x:t>
        </x:is>
      </x:c>
      <x:c r="L31" s="9" t="inlineStr">
        <x:is>
          <x:t xml:space="preserve">Not yet implemented</x:t>
        </x:is>
      </x:c>
      <x:c r="M31" s="9" t="inlineStr">
        <x:is>
          <x:t xml:space="preserve">Planned (M3)</x:t>
        </x:is>
      </x:c>
      <x:c r="N31" s="9" t="inlineStr">
        <x:is>
          <x:t xml:space="preserve">DEC-005, SC-D-01, FEC-03, ADR-008</x:t>
        </x:is>
      </x:c>
      <x:c r="O31" s="9" t="s">
        <x:v>181</x:v>
      </x:c>
    </x:row>
    <x:row r="32" ht="47.599998474121094" hidden="0">
      <x:c r="A32" s="10" t="s">
        <x:v>422</x:v>
      </x:c>
      <x:c r="B32" s="10" t="s">
        <x:v>46</x:v>
      </x:c>
      <x:c r="C32" s="10" t="s">
        <x:v>277</x:v>
      </x:c>
      <x:c r="D32" s="10" t="s">
        <x:v>279</x:v>
      </x:c>
      <x:c r="E32" s="10" t="s">
        <x:v>179</x:v>
      </x:c>
      <x:c r="F32" s="10" t="s">
        <x:v>280</x:v>
      </x:c>
      <x:c r="G32" s="10" t="inlineStr">
        <x:is>
          <x:t xml:space="preserve">ASR-02 queue, reporting and submission responsiveness</x:t>
        </x:is>
      </x:c>
      <x:c r="H32" s="10" t="inlineStr">
        <x:is>
          <x:t xml:space="preserve">Request access and queue, with Persistence</x:t>
        </x:is>
      </x:c>
      <x:c r="I32" s="10" t="inlineStr">
        <x:is>
          <x:t xml:space="preserve">ADR-007 (DEC-011, #97): Indexes on the queue and scope fields. Reporting shares the store</x:t>
        </x:is>
      </x:c>
      <x:c r="J32" s="10" t="inlineStr">
        <x:is>
          <x:t xml:space="preserve">ADR-006 (DEC-014): scope applied in the query, not after loading</x:t>
        </x:is>
      </x:c>
      <x:c r="K32" s="10" t="inlineStr">
        <x:is>
          <x:t xml:space="preserve">ADR-002 (DEC-008, #91): Node.js 24, Express 5, Prisma 7 on PostgreSQL</x:t>
        </x:is>
      </x:c>
      <x:c r="L32" s="10" t="inlineStr">
        <x:is>
          <x:t xml:space="preserve">Not yet implemented</x:t>
        </x:is>
      </x:c>
      <x:c r="M32" s="10" t="inlineStr">
        <x:is>
          <x:t xml:space="preserve">Planned (M3): 20 timed retrievals against a seeded 5 000-request dataset</x:t>
        </x:is>
      </x:c>
      <x:c r="N32" s="10" t="inlineStr">
        <x:is>
          <x:t xml:space="preserve">FEC-04, FEC-06, ADR-001, ADR-006</x:t>
        </x:is>
      </x:c>
      <x:c r="O32" s="10" t="s">
        <x:v>181</x:v>
      </x:c>
    </x:row>
    <x:row r="33" ht="35.70000076293945" hidden="0">
      <x:c r="A33" s="9" t="s">
        <x:v>423</x:v>
      </x:c>
      <x:c r="B33" s="9" t="s">
        <x:v>39</x:v>
      </x:c>
      <x:c r="C33" s="9" t="s">
        <x:v>282</x:v>
      </x:c>
      <x:c r="D33" s="9" t="s">
        <x:v>283</x:v>
      </x:c>
      <x:c r="E33" s="9" t="s">
        <x:v>179</x:v>
      </x:c>
      <x:c r="F33" s="9" t="s">
        <x:v>284</x:v>
      </x:c>
      <x:c r="G33" s="9" t="inlineStr">
        <x:is>
          <x:t xml:space="preserve">ASR-02 queue, reporting and submission responsiveness</x:t>
        </x:is>
      </x:c>
      <x:c r="H33" s="9" t="inlineStr">
        <x:is>
          <x:t xml:space="preserve">Request capture</x:t>
        </x:is>
      </x:c>
      <x:c r="I33" s="9" t="inlineStr">
        <x:is>
          <x:t xml:space="preserve">ADR-007 (DEC-011, #97): Creation committed in one transaction</x:t>
        </x:is>
      </x:c>
      <x:c r="J33" s="9" t="inlineStr">
        <x:is>
          <x:t xml:space="preserve">ADR-007: one creation transaction</x:t>
        </x:is>
      </x:c>
      <x:c r="K33" s="9" t="inlineStr">
        <x:is>
          <x:t xml:space="preserve">ADR-002 (DEC-008, #91): Node.js 24, Express 5, Prisma 7 on PostgreSQL</x:t>
        </x:is>
      </x:c>
      <x:c r="L33" s="9" t="inlineStr">
        <x:is>
          <x:t xml:space="preserve">Not yet implemented</x:t>
        </x:is>
      </x:c>
      <x:c r="M33" s="9" t="inlineStr">
        <x:is>
          <x:t xml:space="preserve">Planned (M3)</x:t>
        </x:is>
      </x:c>
      <x:c r="N33" s="9" t="inlineStr">
        <x:is>
          <x:t xml:space="preserve">ADR-007</x:t>
        </x:is>
      </x:c>
      <x:c r="O33" s="9" t="s">
        <x:v>181</x:v>
      </x:c>
    </x:row>
    <x:row r="34" ht="47.599998474121094" hidden="0">
      <x:c r="A34" s="10" t="s">
        <x:v>424</x:v>
      </x:c>
      <x:c r="B34" s="10" t="s">
        <x:v>67</x:v>
      </x:c>
      <x:c r="C34" s="10" t="s">
        <x:v>286</x:v>
      </x:c>
      <x:c r="D34" s="10" t="s">
        <x:v>288</x:v>
      </x:c>
      <x:c r="E34" s="10" t="s">
        <x:v>191</x:v>
      </x:c>
      <x:c r="F34" s="10" t="s">
        <x:v>289</x:v>
      </x:c>
      <x:c r="G34" s="10" t="inlineStr">
        <x:is>
          <x:t xml:space="preserve">ASR-05 free tier at the committed availability</x:t>
        </x:is>
      </x:c>
      <x:c r="H34" s="10" t="inlineStr">
        <x:is>
          <x:t xml:space="preserve">The whole application, one deployable unit (ADR-001)</x:t>
        </x:is>
      </x:c>
      <x:c r="I34" s="10" t="inlineStr">
        <x:is>
          <x:t xml:space="preserve">Persistent storage, backup and a demonstrated restore required of DEC-010 (ADR-007)</x:t>
        </x:is>
      </x:c>
      <x:c r="J34" s="10" t="inlineStr">
        <x:is>
          <x:t xml:space="preserve">Not yet decided: DEC-010 (#60)</x:t>
        </x:is>
      </x:c>
      <x:c r="K34" s="10" t="inlineStr">
        <x:is>
          <x:t xml:space="preserve">Not yet decided: DEC-010 (#60)</x:t>
        </x:is>
      </x:c>
      <x:c r="L34" s="10" t="inlineStr">
        <x:is>
          <x:t xml:space="preserve">Health endpoint in src/app.js (#90, open)</x:t>
        </x:is>
      </x:c>
      <x:c r="M34" s="10" t="inlineStr">
        <x:is>
          <x:t xml:space="preserve">tests/health.test.js (#90, open). Availability measurement planned (M3)</x:t>
        </x:is>
      </x:c>
      <x:c r="N34" s="10" t="inlineStr">
        <x:is>
          <x:t xml:space="preserve">RSK-02, FEC-05, DEC-010</x:t>
        </x:is>
      </x:c>
      <x:c r="O34" s="10" t="s">
        <x:v>181</x:v>
      </x:c>
    </x:row>
    <x:row r="35" ht="59.5" hidden="0">
      <x:c r="A35" s="9" t="s">
        <x:v>425</x:v>
      </x:c>
      <x:c r="B35" s="9" t="s">
        <x:v>178</x:v>
      </x:c>
      <x:c r="C35" s="9" t="s">
        <x:v>291</x:v>
      </x:c>
      <x:c r="D35" s="9" t="s">
        <x:v>293</x:v>
      </x:c>
      <x:c r="E35" s="9" t="s">
        <x:v>179</x:v>
      </x:c>
      <x:c r="F35" s="9" t="s">
        <x:v>294</x:v>
      </x:c>
      <x:c r="G35" s="9" t="inlineStr">
        <x:is>
          <x:t xml:space="preserve">Not architecturally significant: a library and configuration choice inside authentication</x:t>
        </x:is>
      </x:c>
      <x:c r="H35" s="9" t="inlineStr">
        <x:is>
          <x:t xml:space="preserve">Identity and access</x:t>
        </x:is>
      </x:c>
      <x:c r="I35" s="9" t="inlineStr">
        <x:is>
          <x:t xml:space="preserve">Not yet designed</x:t>
        </x:is>
      </x:c>
      <x:c r="J35" s="9" t="inlineStr">
        <x:is>
          <x:t xml:space="preserve">Not yet designed</x:t>
        </x:is>
      </x:c>
      <x:c r="K35" s="9" t="inlineStr">
        <x:is>
          <x:t xml:space="preserve">ADR-002 (DEC-008, #91): argon2 0.45.1, Argon2id</x:t>
        </x:is>
      </x:c>
      <x:c r="L35" s="9" t="inlineStr">
        <x:is>
          <x:t xml:space="preserve">Not yet implemented</x:t>
        </x:is>
      </x:c>
      <x:c r="M35" s="9" t="inlineStr">
        <x:is>
          <x:t xml:space="preserve">Planned (M3)</x:t>
        </x:is>
      </x:c>
      <x:c r="N35" s="9" t="inlineStr">
        <x:is>
          <x:t xml:space="preserve">RSK-05, ADR-002</x:t>
        </x:is>
      </x:c>
      <x:c r="O35" s="9" t="s">
        <x:v>181</x:v>
      </x:c>
    </x:row>
    <x:row r="36" ht="47.599998474121094" hidden="0">
      <x:c r="A36" s="10" t="s">
        <x:v>426</x:v>
      </x:c>
      <x:c r="B36" s="10" t="s">
        <x:v>67</x:v>
      </x:c>
      <x:c r="C36" s="10" t="s">
        <x:v>296</x:v>
      </x:c>
      <x:c r="D36" s="10" t="s">
        <x:v>297</x:v>
      </x:c>
      <x:c r="E36" s="10" t="s">
        <x:v>179</x:v>
      </x:c>
      <x:c r="F36" s="10" t="s">
        <x:v>298</x:v>
      </x:c>
      <x:c r="G36" s="10" t="inlineStr">
        <x:is>
          <x:t xml:space="preserve">ASR-01 server-side authorisation with record-level scope</x:t>
        </x:is>
      </x:c>
      <x:c r="H36" s="10" t="inlineStr">
        <x:is>
          <x:t xml:space="preserve">Authorisation policy, cross-cutting</x:t>
        </x:is>
      </x:c>
      <x:c r="I36" s="10" t="inlineStr">
        <x:is>
          <x:t xml:space="preserve">ADR-007 (DEC-011, #97): The fields the scope conditions filter: requesterId, categoryId and visibility</x:t>
        </x:is>
      </x:c>
      <x:c r="J36" s="10" t="inlineStr">
        <x:is>
          <x:t xml:space="preserve">ADR-006 (DEC-014)</x:t>
        </x:is>
      </x:c>
      <x:c r="K36" s="10" t="inlineStr">
        <x:is>
          <x:t xml:space="preserve">ADR-002 (DEC-008, #91): Node.js 24, Express 5, Prisma 7 on PostgreSQL</x:t>
        </x:is>
      </x:c>
      <x:c r="L36" s="10" t="inlineStr">
        <x:is>
          <x:t xml:space="preserve">src/modules/authorisation-policy/policy.js (#94, merged)</x:t>
        </x:is>
      </x:c>
      <x:c r="M36" s="10" t="inlineStr">
        <x:is>
          <x:t xml:space="preserve">tests/authorisation-policy.test.js (#94): all sixty Access Matrix cells; four deliberate faults each failed the suite. Endpoint negative tests planned (M3)</x:t>
        </x:is>
      </x:c>
      <x:c r="N36" s="10" t="inlineStr">
        <x:is>
          <x:t xml:space="preserve">RSK-05, FEC-01, ADR-006, CR-002 (#92)</x:t>
        </x:is>
      </x:c>
      <x:c r="O36" s="10" t="s">
        <x:v>181</x:v>
      </x:c>
    </x:row>
    <x:row r="37" ht="35.70000076293945" hidden="0">
      <x:c r="A37" s="9" t="s">
        <x:v>427</x:v>
      </x:c>
      <x:c r="B37" s="9" t="s">
        <x:v>178</x:v>
      </x:c>
      <x:c r="C37" s="9" t="s">
        <x:v>300</x:v>
      </x:c>
      <x:c r="D37" s="9" t="s">
        <x:v>301</x:v>
      </x:c>
      <x:c r="E37" s="9" t="s">
        <x:v>179</x:v>
      </x:c>
      <x:c r="F37" s="9" t="s">
        <x:v>302</x:v>
      </x:c>
      <x:c r="G37" s="9" t="inlineStr">
        <x:is>
          <x:t xml:space="preserve">Not architecturally significant: settled under DEC-010</x:t>
        </x:is>
      </x:c>
      <x:c r="H37" s="9" t="inlineStr">
        <x:is>
          <x:t xml:space="preserve">Deployment</x:t>
        </x:is>
      </x:c>
      <x:c r="I37" s="9" t="inlineStr">
        <x:is>
          <x:t xml:space="preserve">Not applicable</x:t>
        </x:is>
      </x:c>
      <x:c r="J37" s="9" t="inlineStr">
        <x:is>
          <x:t xml:space="preserve">Not yet decided: DEC-010 (#60)</x:t>
        </x:is>
      </x:c>
      <x:c r="K37" s="9" t="inlineStr">
        <x:is>
          <x:t xml:space="preserve">Not yet decided: DEC-010 (#60)</x:t>
        </x:is>
      </x:c>
      <x:c r="L37" s="9" t="inlineStr">
        <x:is>
          <x:t xml:space="preserve">Not yet implemented</x:t>
        </x:is>
      </x:c>
      <x:c r="M37" s="9" t="inlineStr">
        <x:is>
          <x:t xml:space="preserve">Planned (M3)</x:t>
        </x:is>
      </x:c>
      <x:c r="N37" s="9" t="inlineStr">
        <x:is>
          <x:t xml:space="preserve">DEC-010</x:t>
        </x:is>
      </x:c>
      <x:c r="O37" s="9" t="s">
        <x:v>181</x:v>
      </x:c>
    </x:row>
    <x:row r="38" ht="47.599998474121094" hidden="0">
      <x:c r="A38" s="10" t="s">
        <x:v>428</x:v>
      </x:c>
      <x:c r="B38" s="10" t="s">
        <x:v>67</x:v>
      </x:c>
      <x:c r="C38" s="10" t="s">
        <x:v>304</x:v>
      </x:c>
      <x:c r="D38" s="10" t="s">
        <x:v>305</x:v>
      </x:c>
      <x:c r="E38" s="10" t="s">
        <x:v>179</x:v>
      </x:c>
      <x:c r="F38" s="10" t="s">
        <x:v>306</x:v>
      </x:c>
      <x:c r="G38" s="10" t="inlineStr">
        <x:is>
          <x:t xml:space="preserve">Not architecturally significant: a process and pipeline control (#67, RSK-11)</x:t>
        </x:is>
      </x:c>
      <x:c r="H38" s="10" t="inlineStr">
        <x:is>
          <x:t xml:space="preserve">Repository and pipeline, not an application module</x:t>
        </x:is>
      </x:c>
      <x:c r="I38" s="10" t="inlineStr">
        <x:is>
          <x:t xml:space="preserve">Not applicable</x:t>
        </x:is>
      </x:c>
      <x:c r="J38" s="10" t="inlineStr">
        <x:is>
          <x:t xml:space="preserve">Secret scanning as the first CI check (#67)</x:t>
        </x:is>
      </x:c>
      <x:c r="K38" s="10" t="inlineStr">
        <x:is>
          <x:t xml:space="preserve">Gitleaks workflow (#87, merged)</x:t>
        </x:is>
      </x:c>
      <x:c r="L38" s="10" t="inlineStr">
        <x:is>
          <x:t xml:space="preserve">Gitleaks workflow (#87), merged on 30 September 2026</x:t>
        </x:is>
      </x:c>
      <x:c r="M38" s="10" t="inlineStr">
        <x:is>
          <x:t xml:space="preserve">The secret scan runs on every pull request and push to main. It passed on #87 on 29 September 2026 and on main on 30 September 2026</x:t>
        </x:is>
      </x:c>
      <x:c r="N38" s="10" t="inlineStr">
        <x:is>
          <x:t xml:space="preserve">RSK-11</x:t>
        </x:is>
      </x:c>
      <x:c r="O38" s="10" t="s">
        <x:v>181</x:v>
      </x:c>
    </x:row>
    <x:row r="39" ht="71.4000015258789" hidden="0">
      <x:c r="A39" s="9" t="s">
        <x:v>429</x:v>
      </x:c>
      <x:c r="B39" s="9" t="s">
        <x:v>72</x:v>
      </x:c>
      <x:c r="C39" s="9" t="s">
        <x:v>308</x:v>
      </x:c>
      <x:c r="D39" s="9" t="s">
        <x:v>309</x:v>
      </x:c>
      <x:c r="E39" s="9" t="s">
        <x:v>179</x:v>
      </x:c>
      <x:c r="F39" s="9" t="s">
        <x:v>310</x:v>
      </x:c>
      <x:c r="G39" s="9" t="inlineStr">
        <x:is>
          <x:t xml:space="preserve">Not architecturally significant: shapes the data model and is enforced through ASR-01</x:t>
        </x:is>
      </x:c>
      <x:c r="H39" s="9" t="inlineStr">
        <x:is>
          <x:t xml:space="preserve">Persistence, with the Authorisation policy</x:t>
        </x:is>
      </x:c>
      <x:c r="I39" s="9" t="inlineStr">
        <x:is>
          <x:t xml:space="preserve">ADR-007 (DEC-011, #97): Only the fields the requirements need, read through policy-scoped queries</x:t>
        </x:is>
      </x:c>
      <x:c r="J39" s="9" t="inlineStr">
        <x:is>
          <x:t xml:space="preserve">ADR-006 (DEC-014) for access</x:t>
        </x:is>
      </x:c>
      <x:c r="K39" s="9" t="inlineStr">
        <x:is>
          <x:t xml:space="preserve">ADR-002 (DEC-008, #91): Node.js 24, Express 5, Prisma 7 on PostgreSQL</x:t>
        </x:is>
      </x:c>
      <x:c r="L39" s="9" t="inlineStr">
        <x:is>
          <x:t xml:space="preserve">Access scope in src/modules/authorisation-policy/policy.js (#94, merged)</x:t>
        </x:is>
      </x:c>
      <x:c r="M39" s="9" t="inlineStr">
        <x:is>
          <x:t xml:space="preserve">Planned (M3)</x:t>
        </x:is>
      </x:c>
      <x:c r="N39" s="9" t="inlineStr">
        <x:is>
          <x:t xml:space="preserve">RSK-05, RSK-10, FEC-04, ADR-006</x:t>
        </x:is>
      </x:c>
      <x:c r="O39" s="9" t="s">
        <x:v>181</x:v>
      </x:c>
    </x:row>
    <x:row r="40" ht="47.599998474121094" hidden="0">
      <x:c r="A40" s="10" t="s">
        <x:v>430</x:v>
      </x:c>
      <x:c r="B40" s="10" t="s">
        <x:v>39</x:v>
      </x:c>
      <x:c r="C40" s="10" t="s">
        <x:v>312</x:v>
      </x:c>
      <x:c r="D40" s="10" t="s">
        <x:v>314</x:v>
      </x:c>
      <x:c r="E40" s="10" t="s">
        <x:v>191</x:v>
      </x:c>
      <x:c r="F40" s="10" t="s">
        <x:v>315</x:v>
      </x:c>
      <x:c r="G40" s="10" t="inlineStr">
        <x:is>
          <x:t xml:space="preserve">Not architecturally significant: interface design</x:t>
        </x:is>
      </x:c>
      <x:c r="H40" s="10" t="inlineStr">
        <x:is>
          <x:t xml:space="preserve">Client interface, not yet designed</x:t>
        </x:is>
      </x:c>
      <x:c r="I40" s="10" t="inlineStr">
        <x:is>
          <x:t xml:space="preserve">Not applicable</x:t>
        </x:is>
      </x:c>
      <x:c r="J40" s="10" t="inlineStr">
        <x:is>
          <x:t xml:space="preserve">Not yet designed</x:t>
        </x:is>
      </x:c>
      <x:c r="K40" s="10" t="inlineStr">
        <x:is>
          <x:t xml:space="preserve">ADR-002 (DEC-008, #91): React 19 with Vite, added with the first client work</x:t>
        </x:is>
      </x:c>
      <x:c r="L40" s="10" t="inlineStr">
        <x:is>
          <x:t xml:space="preserve">Not yet implemented</x:t>
        </x:is>
      </x:c>
      <x:c r="M40" s="10" t="inlineStr">
        <x:is>
          <x:t xml:space="preserve">Planned (M3)</x:t>
        </x:is>
      </x:c>
      <x:c r="N40" s="10" t="inlineStr">
        <x:is>
          <x:t xml:space="preserve">-</x:t>
        </x:is>
      </x:c>
      <x:c r="O40" s="10" t="s">
        <x:v>181</x:v>
      </x:c>
    </x:row>
    <x:row r="41" ht="71.4000015258789" hidden="0">
      <x:c r="A41" s="9" t="s">
        <x:v>431</x:v>
      </x:c>
      <x:c r="B41" s="9" t="s">
        <x:v>39</x:v>
      </x:c>
      <x:c r="C41" s="9" t="s">
        <x:v>317</x:v>
      </x:c>
      <x:c r="D41" s="9" t="s">
        <x:v>318</x:v>
      </x:c>
      <x:c r="E41" s="9" t="s">
        <x:v>191</x:v>
      </x:c>
      <x:c r="F41" s="9" t="s">
        <x:v>319</x:v>
      </x:c>
      <x:c r="G41" s="9" t="inlineStr">
        <x:is>
          <x:t xml:space="preserve">Not architecturally significant: interface design</x:t>
        </x:is>
      </x:c>
      <x:c r="H41" s="9" t="inlineStr">
        <x:is>
          <x:t xml:space="preserve">Client interface, not yet designed</x:t>
        </x:is>
      </x:c>
      <x:c r="I41" s="9" t="inlineStr">
        <x:is>
          <x:t xml:space="preserve">Not applicable</x:t>
        </x:is>
      </x:c>
      <x:c r="J41" s="9" t="inlineStr">
        <x:is>
          <x:t xml:space="preserve">Not yet designed</x:t>
        </x:is>
      </x:c>
      <x:c r="K41" s="9" t="inlineStr">
        <x:is>
          <x:t xml:space="preserve">ADR-002 (DEC-008, #91): React 19 with Vite, added with the first client work</x:t>
        </x:is>
      </x:c>
      <x:c r="L41" s="9" t="inlineStr">
        <x:is>
          <x:t xml:space="preserve">Not yet implemented</x:t>
        </x:is>
      </x:c>
      <x:c r="M41" s="9" t="inlineStr">
        <x:is>
          <x:t xml:space="preserve">Planned (M3)</x:t>
        </x:is>
      </x:c>
      <x:c r="N41" s="9" t="inlineStr">
        <x:is>
          <x:t xml:space="preserve">-</x:t>
        </x:is>
      </x:c>
      <x:c r="O41" s="9" t="s">
        <x:v>181</x:v>
      </x:c>
    </x:row>
    <x:row r="42" ht="59.5" hidden="0">
      <x:c r="A42" s="10" t="s">
        <x:v>432</x:v>
      </x:c>
      <x:c r="B42" s="10" t="s">
        <x:v>57</x:v>
      </x:c>
      <x:c r="C42" s="10" t="s">
        <x:v>321</x:v>
      </x:c>
      <x:c r="D42" s="10" t="s">
        <x:v>323</x:v>
      </x:c>
      <x:c r="E42" s="10" t="s">
        <x:v>179</x:v>
      </x:c>
      <x:c r="F42" s="10" t="s">
        <x:v>324</x:v>
      </x:c>
      <x:c r="G42" s="10" t="inlineStr">
        <x:is>
          <x:t xml:space="preserve">ASR-03 auditability of every status, assignee and priority change</x:t>
        </x:is>
      </x:c>
      <x:c r="H42" s="10" t="inlineStr">
        <x:is>
          <x:t xml:space="preserve">Audit, and Workflow and status (ADR-001 rule 3)</x:t>
        </x:is>
      </x:c>
      <x:c r="I42" s="10" t="inlineStr">
        <x:is>
          <x:t xml:space="preserve">ADR-007 (DEC-011, #97): Status, history and one AuditEntry with the previous and new values, written in one transaction</x:t>
        </x:is>
      </x:c>
      <x:c r="J42" s="10" t="inlineStr">
        <x:is>
          <x:t xml:space="preserve">ADR-001 rule 3. ADR-005 (DEC-013) places every status change in the workflow module</x:t>
        </x:is>
      </x:c>
      <x:c r="K42" s="10" t="inlineStr">
        <x:is>
          <x:t xml:space="preserve">ADR-002 (DEC-008, #91): Node.js 24, Express 5, Prisma 7 on PostgreSQL</x:t>
        </x:is>
      </x:c>
      <x:c r="L42" s="10" t="inlineStr">
        <x:is>
          <x:t xml:space="preserve">Not yet implemented</x:t>
        </x:is>
      </x:c>
      <x:c r="M42" s="10" t="inlineStr">
        <x:is>
          <x:t xml:space="preserve">Planned (M3): an audit entry per change type, and a reconciliation query</x:t>
        </x:is>
      </x:c>
      <x:c r="N42" s="10" t="inlineStr">
        <x:is>
          <x:t xml:space="preserve">RSK-09, ADR-001, ADR-005</x:t>
        </x:is>
      </x:c>
      <x:c r="O42" s="10" t="s">
        <x:v>181</x:v>
      </x:c>
    </x:row>
    <x:row r="43" ht="59.5" hidden="0">
      <x:c r="A43" s="9" t="s">
        <x:v>433</x:v>
      </x:c>
      <x:c r="B43" s="9" t="s">
        <x:v>82</x:v>
      </x:c>
      <x:c r="C43" s="9" t="s">
        <x:v>326</x:v>
      </x:c>
      <x:c r="D43" s="9" t="s">
        <x:v>328</x:v>
      </x:c>
      <x:c r="E43" s="9" t="s">
        <x:v>179</x:v>
      </x:c>
      <x:c r="F43" s="9" t="s">
        <x:v>329</x:v>
      </x:c>
      <x:c r="G43" s="9" t="inlineStr">
        <x:is>
          <x:t xml:space="preserve">ASR-04 changeability under two-approval review</x:t>
        </x:is>
      </x:c>
      <x:c r="H43" s="9" t="inlineStr">
        <x:is>
          <x:t xml:space="preserve">All modules</x:t>
        </x:is>
      </x:c>
      <x:c r="I43" s="9" t="inlineStr">
        <x:is>
          <x:t xml:space="preserve">Not applicable</x:t>
        </x:is>
      </x:c>
      <x:c r="J43" s="9" t="inlineStr">
        <x:is>
          <x:t xml:space="preserve">Tests generated from fixtures exported from the registers (ADR-005, ADR-006)</x:t>
        </x:is>
      </x:c>
      <x:c r="K43" s="9" t="inlineStr">
        <x:is>
          <x:t xml:space="preserve">ADR-002 (DEC-008, #91): node:test, built in</x:t>
        </x:is>
      </x:c>
      <x:c r="L43" s="9" t="inlineStr">
        <x:is>
          <x:t xml:space="preserve">tests/ (#93, #94, merged)</x:t>
        </x:is>
      </x:c>
      <x:c r="M43" s="9" t="inlineStr">
        <x:is>
          <x:t xml:space="preserve">22 tests pass locally. No CI check has run yet (#67)</x:t>
        </x:is>
      </x:c>
      <x:c r="N43" s="9" t="inlineStr">
        <x:is>
          <x:t xml:space="preserve">RSK-03, ADR-002</x:t>
        </x:is>
      </x:c>
      <x:c r="O43" s="9" t="s">
        <x:v>181</x:v>
      </x:c>
    </x:row>
    <x:row r="44" ht="59.5" hidden="0">
      <x:c r="A44" s="10" t="s">
        <x:v>434</x:v>
      </x:c>
      <x:c r="B44" s="10" t="s">
        <x:v>67</x:v>
      </x:c>
      <x:c r="C44" s="10" t="s">
        <x:v>331</x:v>
      </x:c>
      <x:c r="D44" s="10" t="s">
        <x:v>333</x:v>
      </x:c>
      <x:c r="E44" s="10" t="s">
        <x:v>179</x:v>
      </x:c>
      <x:c r="F44" s="10" t="s">
        <x:v>334</x:v>
      </x:c>
      <x:c r="G44" s="10" t="inlineStr">
        <x:is>
          <x:t xml:space="preserve">ASR-05 free tier at the committed availability</x:t>
        </x:is>
      </x:c>
      <x:c r="H44" s="10" t="inlineStr">
        <x:is>
          <x:t xml:space="preserve">Deployment</x:t>
        </x:is>
      </x:c>
      <x:c r="I44" s="10" t="inlineStr">
        <x:is>
          <x:t xml:space="preserve">Hosting under DEC-010</x:t>
        </x:is>
      </x:c>
      <x:c r="J44" s="10" t="inlineStr">
        <x:is>
          <x:t xml:space="preserve">Not yet decided: DEC-010 (#60)</x:t>
        </x:is>
      </x:c>
      <x:c r="K44" s="10" t="inlineStr">
        <x:is>
          <x:t xml:space="preserve">Not yet decided: DEC-010 (#60). ADR-002 requires no paid component</x:t>
        </x:is>
      </x:c>
      <x:c r="L44" s="10" t="inlineStr">
        <x:is>
          <x:t xml:space="preserve">Not yet implemented</x:t>
        </x:is>
      </x:c>
      <x:c r="M44" s="10" t="inlineStr">
        <x:is>
          <x:t xml:space="preserve">Planned: a recorded cost review before release</x:t>
        </x:is>
      </x:c>
      <x:c r="N44" s="10" t="inlineStr">
        <x:is>
          <x:t xml:space="preserve">RSK-02, FEC-05, DEC-010</x:t>
        </x:is>
      </x:c>
      <x:c r="O44" s="10" t="s">
        <x:v>181</x:v>
      </x:c>
    </x:row>
  </x:sheetData>
  <x:mergeCells>
    <x:mergeCell ref="A1:O1"/>
  </x:mergeCells>
  <x:pageMargins left="0.7" right="0.7" top="0.75" bottom="0.75" header="0.3" footer="0.3"/>
</x:worksheet>
</file>

<file path=xl/worksheets/sheet8.xml><?xml version="1.0" encoding="utf-8"?>
<x:worksheet xmlns:x="http://schemas.openxmlformats.org/spreadsheetml/2006/main">
  <x:sheetViews>
    <x:sheetView showGridLines="1" workbookViewId="0"/>
  </x:sheetViews>
  <x:sheetFormatPr defaultColWidth="8.6796875" defaultRowHeight="15"/>
  <x:cols>
    <x:col min="1" max="1" width="10" hidden="0" customWidth="1"/>
    <x:col min="2" max="3" width="60" hidden="0" customWidth="1"/>
    <x:col min="4" max="4" width="12" hidden="0" customWidth="1"/>
    <x:col min="5" max="7" width="11" hidden="0" customWidth="1"/>
    <x:col min="8" max="8" width="74" hidden="0" customWidth="1"/>
    <x:col min="9" max="9" width="62" hidden="0" customWidth="1"/>
    <x:col min="10" max="10" width="14" hidden="0" customWidth="1"/>
    <x:col min="11" max="11" width="10" hidden="0" customWidth="1"/>
    <x:col min="12" max="12" width="26" hidden="0" customWidth="1"/>
  </x:cols>
  <x:sheetData>
    <x:row r="1" ht="25.5" hidden="0" customHeight="1">
      <x:c r="A1" s="7" t="s">
        <x:v>435</x:v>
      </x:c>
      <x:c r="B1" s="7"/>
      <x:c r="C1" s="7"/>
      <x:c r="D1" s="7"/>
      <x:c r="E1" s="7"/>
      <x:c r="F1" s="7"/>
      <x:c r="G1" s="7"/>
      <x:c r="H1" s="7"/>
      <x:c r="I1" s="7"/>
      <x:c r="J1" s="7"/>
      <x:c r="K1" s="7"/>
      <x:c r="L1" s="7"/>
    </x:row>
    <x:row r="2" ht="30" hidden="0" customHeight="1">
      <x:c r="A2" s="8" t="s">
        <x:v>436</x:v>
      </x:c>
      <x:c r="B2" s="8" t="s">
        <x:v>437</x:v>
      </x:c>
      <x:c r="C2" s="8" t="s">
        <x:v>438</x:v>
      </x:c>
      <x:c r="D2" s="8" t="s">
        <x:v>439</x:v>
      </x:c>
      <x:c r="E2" s="8" t="s">
        <x:v>440</x:v>
      </x:c>
      <x:c r="F2" s="8" t="s">
        <x:v>441</x:v>
      </x:c>
      <x:c r="G2" s="8" t="s">
        <x:v>173</x:v>
      </x:c>
      <x:c r="H2" s="8" t="s">
        <x:v>442</x:v>
      </x:c>
      <x:c r="I2" s="8" t="s">
        <x:v>443</x:v>
      </x:c>
      <x:c r="J2" s="8" t="s">
        <x:v>5</x:v>
      </x:c>
      <x:c r="K2" s="8" t="s">
        <x:v>175</x:v>
      </x:c>
      <x:c r="L2" s="8" t="s">
        <x:v>444</x:v>
      </x:c>
    </x:row>
    <x:row r="3" ht="242.80999755859375" hidden="0">
      <x:c r="A3" s="9" t="s">
        <x:v>445</x:v>
      </x:c>
      <x:c r="B3" s="9" t="s">
        <x:v>446</x:v>
      </x:c>
      <x:c r="C3" s="9" t="s">
        <x:v>447</x:v>
      </x:c>
      <x:c r="D3" s="9" t="n">
        <x:v>4</x:v>
      </x:c>
      <x:c r="E3" s="9" t="n">
        <x:v>5</x:v>
      </x:c>
      <x:c r="F3" s="11" t="n">
        <x:f aca="0">D3*E3</x:f>
        <x:v>20</x:v>
      </x:c>
      <x:c r="G3" s="11" t="str">
        <x:f aca="0">IF(F3&gt;=20,"Critical",IF(F3&gt;=12,"High",IF(F3&gt;=6,"Medium","Low")))</x:f>
        <x:v>Critical</x:v>
      </x:c>
      <x:c r="H3" s="9" t="s">
        <x:v>448</x:v>
      </x:c>
      <x:c r="I3" s="9" t="s">
        <x:v>449</x:v>
      </x:c>
      <x:c r="J3" s="9" t="s">
        <x:v>450</x:v>
      </x:c>
      <x:c r="K3" s="9" t="inlineStr">
        <x:is>
          <x:t xml:space="preserve">M2 (29 September 2026): Open, score unchanged under #68. ADR-002 meets the preference for a stack in which two of three members have prior exposure; the proof of concept is still a merge condition for #90.
M1 baseline: Open</x:t>
        </x:is>
      </x:c>
      <x:c r="L3" s="9" t="s">
        <x:v>451</x:v>
      </x:c>
    </x:row>
    <x:row r="4" ht="35.04999923706055" hidden="0">
      <x:c r="A4" s="10" t="s">
        <x:v>452</x:v>
      </x:c>
      <x:c r="B4" s="10" t="s">
        <x:v>453</x:v>
      </x:c>
      <x:c r="C4" s="10" t="s">
        <x:v>454</x:v>
      </x:c>
      <x:c r="D4" s="10" t="n">
        <x:v>3</x:v>
      </x:c>
      <x:c r="E4" s="10" t="n">
        <x:v>4</x:v>
      </x:c>
      <x:c r="F4" s="13" t="n">
        <x:f aca="0">D4*E4</x:f>
        <x:v>12</x:v>
      </x:c>
      <x:c r="G4" s="13" t="str">
        <x:f aca="0">IF(F4&gt;=20,"Critical",IF(F4&gt;=12,"High",IF(F4&gt;=6,"Medium","Low")))</x:f>
        <x:v>High</x:v>
      </x:c>
      <x:c r="H4" s="10" t="s">
        <x:v>455</x:v>
      </x:c>
      <x:c r="I4" s="10" t="s">
        <x:v>456</x:v>
      </x:c>
      <x:c r="J4" s="10" t="s">
        <x:v>450</x:v>
      </x:c>
      <x:c r="K4" s="10" t="s">
        <x:v>457</x:v>
      </x:c>
      <x:c r="L4" s="10" t="s">
        <x:v>458</x:v>
      </x:c>
    </x:row>
    <x:row r="5" ht="46.25" hidden="0">
      <x:c r="A5" s="9" t="s">
        <x:v>459</x:v>
      </x:c>
      <x:c r="B5" s="9" t="s">
        <x:v>460</x:v>
      </x:c>
      <x:c r="C5" s="9" t="s">
        <x:v>461</x:v>
      </x:c>
      <x:c r="D5" s="9" t="n">
        <x:v>5</x:v>
      </x:c>
      <x:c r="E5" s="9" t="n">
        <x:v>4</x:v>
      </x:c>
      <x:c r="F5" s="11" t="n">
        <x:f aca="0">D5*E5</x:f>
        <x:v>20</x:v>
      </x:c>
      <x:c r="G5" s="11" t="str">
        <x:f aca="0">IF(F5&gt;=20,"Critical",IF(F5&gt;=12,"High",IF(F5&gt;=6,"Medium","Low")))</x:f>
        <x:v>Critical</x:v>
      </x:c>
      <x:c r="H5" s="9" t="s">
        <x:v>462</x:v>
      </x:c>
      <x:c r="I5" s="9" t="s">
        <x:v>463</x:v>
      </x:c>
      <x:c r="J5" s="9" t="s">
        <x:v>464</x:v>
      </x:c>
      <x:c r="K5" s="9" t="s">
        <x:v>457</x:v>
      </x:c>
      <x:c r="L5" s="9" t="s">
        <x:v>465</x:v>
      </x:c>
    </x:row>
    <x:row r="6" ht="46.25" hidden="0">
      <x:c r="A6" s="10" t="s">
        <x:v>466</x:v>
      </x:c>
      <x:c r="B6" s="10" t="s">
        <x:v>467</x:v>
      </x:c>
      <x:c r="C6" s="10" t="s">
        <x:v>468</x:v>
      </x:c>
      <x:c r="D6" s="10" t="n">
        <x:v>4</x:v>
      </x:c>
      <x:c r="E6" s="10" t="n">
        <x:v>3</x:v>
      </x:c>
      <x:c r="F6" s="13" t="n">
        <x:f aca="0">D6*E6</x:f>
        <x:v>12</x:v>
      </x:c>
      <x:c r="G6" s="13" t="str">
        <x:f aca="0">IF(F6&gt;=20,"Critical",IF(F6&gt;=12,"High",IF(F6&gt;=6,"Medium","Low")))</x:f>
        <x:v>High</x:v>
      </x:c>
      <x:c r="H6" s="10" t="s">
        <x:v>469</x:v>
      </x:c>
      <x:c r="I6" s="10" t="s">
        <x:v>470</x:v>
      </x:c>
      <x:c r="J6" s="10" t="s">
        <x:v>471</x:v>
      </x:c>
      <x:c r="K6" s="10" t="s">
        <x:v>472</x:v>
      </x:c>
      <x:c r="L6" s="10" t="s">
        <x:v>473</x:v>
      </x:c>
    </x:row>
    <x:row r="7" ht="323.75" hidden="0">
      <x:c r="A7" s="9" t="s">
        <x:v>474</x:v>
      </x:c>
      <x:c r="B7" s="9" t="s">
        <x:v>475</x:v>
      </x:c>
      <x:c r="C7" s="9" t="s">
        <x:v>476</x:v>
      </x:c>
      <x:c r="D7" s="9" t="n">
        <x:v>2</x:v>
      </x:c>
      <x:c r="E7" s="9" t="n">
        <x:v>5</x:v>
      </x:c>
      <x:c r="F7" s="11" t="n">
        <x:f aca="0">D7*E7</x:f>
        <x:v>10</x:v>
      </x:c>
      <x:c r="G7" s="11" t="str">
        <x:f aca="0">IF(F7&gt;=20,"Critical",IF(F7&gt;=12,"High",IF(F7&gt;=6,"Medium","Low")))</x:f>
        <x:v>Medium</x:v>
      </x:c>
      <x:c r="H7" s="9" t="s">
        <x:v>477</x:v>
      </x:c>
      <x:c r="I7" s="9" t="s">
        <x:v>478</x:v>
      </x:c>
      <x:c r="J7" s="9" t="s">
        <x:v>450</x:v>
      </x:c>
      <x:c r="K7" s="9" t="inlineStr">
        <x:is>
          <x:t xml:space="preserve">M2 (29 September 2026): Open. Probability re-scored from 3 to 2 under #68: ADR-006 (#94) provides one server-side policy for actions and read scope, tested against every Access Matrix cell. Impact stays at 5, and the risk stays open until the negative tests run at the endpoints in M3.
M1 baseline: Open</x:t>
        </x:is>
      </x:c>
      <x:c r="L7" s="9" t="inlineStr">
        <x:is>
          <x:t xml:space="preserve">FR-011, FR-012, NFR-005, NFR-008, CON-05, FEC-01, ADR-006, #94</x:t>
        </x:is>
      </x:c>
    </x:row>
    <x:row r="8" ht="35.04999923706055" hidden="0">
      <x:c r="A8" s="10" t="s">
        <x:v>479</x:v>
      </x:c>
      <x:c r="B8" s="10" t="s">
        <x:v>480</x:v>
      </x:c>
      <x:c r="C8" s="10" t="s">
        <x:v>481</x:v>
      </x:c>
      <x:c r="D8" s="10" t="n">
        <x:v>3</x:v>
      </x:c>
      <x:c r="E8" s="10" t="n">
        <x:v>4</x:v>
      </x:c>
      <x:c r="F8" s="13" t="n">
        <x:f aca="0">D8*E8</x:f>
        <x:v>12</x:v>
      </x:c>
      <x:c r="G8" s="13" t="str">
        <x:f aca="0">IF(F8&gt;=20,"Critical",IF(F8&gt;=12,"High",IF(F8&gt;=6,"Medium","Low")))</x:f>
        <x:v>High</x:v>
      </x:c>
      <x:c r="H8" s="10" t="s">
        <x:v>482</x:v>
      </x:c>
      <x:c r="I8" s="10" t="s">
        <x:v>483</x:v>
      </x:c>
      <x:c r="J8" s="10" t="s">
        <x:v>464</x:v>
      </x:c>
      <x:c r="K8" s="10" t="s">
        <x:v>457</x:v>
      </x:c>
      <x:c r="L8" s="10" t="s">
        <x:v>484</x:v>
      </x:c>
    </x:row>
    <x:row r="9" ht="35.04999923706055" hidden="0">
      <x:c r="A9" s="9" t="s">
        <x:v>485</x:v>
      </x:c>
      <x:c r="B9" s="9" t="s">
        <x:v>486</x:v>
      </x:c>
      <x:c r="C9" s="9" t="s">
        <x:v>487</x:v>
      </x:c>
      <x:c r="D9" s="9" t="n">
        <x:v>3</x:v>
      </x:c>
      <x:c r="E9" s="9" t="n">
        <x:v>4</x:v>
      </x:c>
      <x:c r="F9" s="11" t="n">
        <x:f aca="0">D9*E9</x:f>
        <x:v>12</x:v>
      </x:c>
      <x:c r="G9" s="11" t="str">
        <x:f aca="0">IF(F9&gt;=20,"Critical",IF(F9&gt;=12,"High",IF(F9&gt;=6,"Medium","Low")))</x:f>
        <x:v>High</x:v>
      </x:c>
      <x:c r="H9" s="9" t="s">
        <x:v>488</x:v>
      </x:c>
      <x:c r="I9" s="9" t="s">
        <x:v>489</x:v>
      </x:c>
      <x:c r="J9" s="9" t="s">
        <x:v>471</x:v>
      </x:c>
      <x:c r="K9" s="9" t="s">
        <x:v>490</x:v>
      </x:c>
      <x:c r="L9" s="9" t="s">
        <x:v>491</x:v>
      </x:c>
    </x:row>
    <x:row r="10" ht="35.04999923706055" hidden="0">
      <x:c r="A10" s="10" t="s">
        <x:v>492</x:v>
      </x:c>
      <x:c r="B10" s="10" t="s">
        <x:v>493</x:v>
      </x:c>
      <x:c r="C10" s="10" t="s">
        <x:v>494</x:v>
      </x:c>
      <x:c r="D10" s="10" t="n">
        <x:v>3</x:v>
      </x:c>
      <x:c r="E10" s="10" t="n">
        <x:v>5</x:v>
      </x:c>
      <x:c r="F10" s="13" t="n">
        <x:f aca="0">D10*E10</x:f>
        <x:v>15</x:v>
      </x:c>
      <x:c r="G10" s="13" t="str">
        <x:f aca="0">IF(F10&gt;=20,"Critical",IF(F10&gt;=12,"High",IF(F10&gt;=6,"Medium","Low")))</x:f>
        <x:v>High</x:v>
      </x:c>
      <x:c r="H10" s="10" t="s">
        <x:v>495</x:v>
      </x:c>
      <x:c r="I10" s="10" t="s">
        <x:v>496</x:v>
      </x:c>
      <x:c r="J10" s="10" t="s">
        <x:v>471</x:v>
      </x:c>
      <x:c r="K10" s="10" t="s">
        <x:v>457</x:v>
      </x:c>
      <x:c r="L10" s="10" t="s">
        <x:v>497</x:v>
      </x:c>
    </x:row>
    <x:row r="11" ht="35.04999923706055" hidden="0">
      <x:c r="A11" s="9" t="s">
        <x:v>498</x:v>
      </x:c>
      <x:c r="B11" s="9" t="s">
        <x:v>499</x:v>
      </x:c>
      <x:c r="C11" s="9" t="s">
        <x:v>500</x:v>
      </x:c>
      <x:c r="D11" s="9" t="n">
        <x:v>2</x:v>
      </x:c>
      <x:c r="E11" s="9" t="n">
        <x:v>4</x:v>
      </x:c>
      <x:c r="F11" s="11" t="n">
        <x:f aca="0">D11*E11</x:f>
        <x:v>8</x:v>
      </x:c>
      <x:c r="G11" s="11" t="str">
        <x:f aca="0">IF(F11&gt;=20,"Critical",IF(F11&gt;=12,"High",IF(F11&gt;=6,"Medium","Low")))</x:f>
        <x:v>Medium</x:v>
      </x:c>
      <x:c r="H11" s="9" t="s">
        <x:v>501</x:v>
      </x:c>
      <x:c r="I11" s="9" t="s">
        <x:v>502</x:v>
      </x:c>
      <x:c r="J11" s="9" t="s">
        <x:v>464</x:v>
      </x:c>
      <x:c r="K11" s="9" t="s">
        <x:v>457</x:v>
      </x:c>
      <x:c r="L11" s="9" t="s">
        <x:v>503</x:v>
      </x:c>
    </x:row>
    <x:row r="12" ht="23.850000381469727" hidden="0">
      <x:c r="A12" s="10" t="s">
        <x:v>504</x:v>
      </x:c>
      <x:c r="B12" s="10" t="s">
        <x:v>505</x:v>
      </x:c>
      <x:c r="C12" s="10" t="s">
        <x:v>506</x:v>
      </x:c>
      <x:c r="D12" s="10" t="n">
        <x:v>2</x:v>
      </x:c>
      <x:c r="E12" s="10" t="n">
        <x:v>4</x:v>
      </x:c>
      <x:c r="F12" s="13" t="n">
        <x:f aca="0">D12*E12</x:f>
        <x:v>8</x:v>
      </x:c>
      <x:c r="G12" s="13" t="str">
        <x:f aca="0">IF(F12&gt;=20,"Critical",IF(F12&gt;=12,"High",IF(F12&gt;=6,"Medium","Low")))</x:f>
        <x:v>Medium</x:v>
      </x:c>
      <x:c r="H12" s="10" t="s">
        <x:v>507</x:v>
      </x:c>
      <x:c r="I12" s="10" t="s">
        <x:v>508</x:v>
      </x:c>
      <x:c r="J12" s="10" t="s">
        <x:v>450</x:v>
      </x:c>
      <x:c r="K12" s="10" t="s">
        <x:v>457</x:v>
      </x:c>
      <x:c r="L12" s="10" t="s">
        <x:v>509</x:v>
      </x:c>
    </x:row>
    <x:row r="13" ht="35.04999923706055" hidden="0">
      <x:c r="A13" s="9" t="s">
        <x:v>510</x:v>
      </x:c>
      <x:c r="B13" s="9" t="s">
        <x:v>511</x:v>
      </x:c>
      <x:c r="C13" s="9" t="s">
        <x:v>512</x:v>
      </x:c>
      <x:c r="D13" s="9" t="n">
        <x:v>3</x:v>
      </x:c>
      <x:c r="E13" s="9" t="n">
        <x:v>5</x:v>
      </x:c>
      <x:c r="F13" s="11" t="n">
        <x:f aca="0">D13*E13</x:f>
        <x:v>15</x:v>
      </x:c>
      <x:c r="G13" s="11" t="str">
        <x:f aca="0">IF(F13&gt;=20,"Critical",IF(F13&gt;=12,"High",IF(F13&gt;=6,"Medium","Low")))</x:f>
        <x:v>High</x:v>
      </x:c>
      <x:c r="H13" s="9" t="s">
        <x:v>513</x:v>
      </x:c>
      <x:c r="I13" s="9" t="s">
        <x:v>514</x:v>
      </x:c>
      <x:c r="J13" s="9" t="s">
        <x:v>471</x:v>
      </x:c>
      <x:c r="K13" s="9" t="s">
        <x:v>457</x:v>
      </x:c>
      <x:c r="L13" s="9" t="s">
        <x:v>515</x:v>
      </x:c>
    </x:row>
    <x:row r="14" ht="323.75" hidden="0">
      <x:c r="A14" s="10" t="s">
        <x:v>516</x:v>
      </x:c>
      <x:c r="B14" s="10" t="s">
        <x:v>517</x:v>
      </x:c>
      <x:c r="C14" s="10" t="s">
        <x:v>518</x:v>
      </x:c>
      <x:c r="D14" s="10" t="n">
        <x:v>3</x:v>
      </x:c>
      <x:c r="E14" s="10" t="n">
        <x:v>4</x:v>
      </x:c>
      <x:c r="F14" s="13" t="n">
        <x:f aca="0">D14*E14</x:f>
        <x:v>12</x:v>
      </x:c>
      <x:c r="G14" s="13" t="str">
        <x:f aca="0">IF(F14&gt;=20,"Critical",IF(F14&gt;=12,"High",IF(F14&gt;=6,"Medium","Low")))</x:f>
        <x:v>High</x:v>
      </x:c>
      <x:c r="H14" s="10" t="inlineStr">
        <x:is>
          <x:t xml:space="preserve">M2 (29 September 2026): ADR-002 pins every package exactly, with a committed lockfile. #90 overrides deepmerge-ts to 8.0.2 and mysql2 to 3.24.4, and npm audit reports 0 vulnerabilities at 9529e80. The overrides are removed when a Prisma 7 release fixes issue #30295. Automated dependency checking arrives with #67.
M1 baseline: Make dependency-ecosystem maturity a criterion in DEC-008. Adopt lockfiles and automated dependency and vulnerability checking from the first construction Pull Request. Require any new dependency to be justified in the Pull Request that introduces it.</x:t>
        </x:is>
      </x:c>
      <x:c r="I14" s="10" t="s">
        <x:v>519</x:v>
      </x:c>
      <x:c r="J14" s="10" t="s">
        <x:v>464</x:v>
      </x:c>
      <x:c r="K14" s="10" t="inlineStr">
        <x:is>
          <x:t xml:space="preserve">M2 (29 September 2026): Materialised - active. Prisma 7.10.0 pins deepmerge-ts 7.1.5 and mysql2 3.15.3, which carry high-severity advisories no 7.x release has fixed (Prisma issue #30295, found 28 September 2026). Probability re-scored from 2 to 3 under #68, for the owner to confirm.
M1 baseline: Open</x:t>
        </x:is>
      </x:c>
      <x:c r="L14" s="10" t="inlineStr">
        <x:is>
          <x:t xml:space="preserve">DEC-008, FEC-06, CON-05, ADR-002, #90, #91</x:t>
        </x:is>
      </x:c>
    </x:row>
    <x:row r="15" ht="35.04999923706055" hidden="0">
      <x:c r="A15" s="9" t="s">
        <x:v>520</x:v>
      </x:c>
      <x:c r="B15" s="9" t="s">
        <x:v>521</x:v>
      </x:c>
      <x:c r="C15" s="9" t="s">
        <x:v>522</x:v>
      </x:c>
      <x:c r="D15" s="9" t="n">
        <x:v>4</x:v>
      </x:c>
      <x:c r="E15" s="9" t="n">
        <x:v>3</x:v>
      </x:c>
      <x:c r="F15" s="11" t="n">
        <x:f aca="0">D15*E15</x:f>
        <x:v>12</x:v>
      </x:c>
      <x:c r="G15" s="11" t="str">
        <x:f aca="0">IF(F15&gt;=20,"Critical",IF(F15&gt;=12,"High",IF(F15&gt;=6,"Medium","Low")))</x:f>
        <x:v>High</x:v>
      </x:c>
      <x:c r="H15" s="9" t="s">
        <x:v>523</x:v>
      </x:c>
      <x:c r="I15" s="9" t="s">
        <x:v>524</x:v>
      </x:c>
      <x:c r="J15" s="9" t="s">
        <x:v>450</x:v>
      </x:c>
      <x:c r="K15" s="9" t="s">
        <x:v>457</x:v>
      </x:c>
      <x:c r="L15" s="9" t="s">
        <x:v>525</x:v>
      </x:c>
    </x:row>
    <x:row r="16" ht="46.25" hidden="0">
      <x:c r="A16" s="10" t="s">
        <x:v>526</x:v>
      </x:c>
      <x:c r="B16" s="10" t="s">
        <x:v>527</x:v>
      </x:c>
      <x:c r="C16" s="10" t="s">
        <x:v>528</x:v>
      </x:c>
      <x:c r="D16" s="10" t="n">
        <x:v>3</x:v>
      </x:c>
      <x:c r="E16" s="10" t="n">
        <x:v>4</x:v>
      </x:c>
      <x:c r="F16" s="13" t="n">
        <x:f aca="0">D16*E16</x:f>
        <x:v>12</x:v>
      </x:c>
      <x:c r="G16" s="13" t="str">
        <x:f aca="0">IF(F16&gt;=20,"Critical",IF(F16&gt;=12,"High",IF(F16&gt;=6,"Medium","Low")))</x:f>
        <x:v>High</x:v>
      </x:c>
      <x:c r="H16" s="10" t="s">
        <x:v>529</x:v>
      </x:c>
      <x:c r="I16" s="10" t="s">
        <x:v>530</x:v>
      </x:c>
      <x:c r="J16" s="10" t="s">
        <x:v>471</x:v>
      </x:c>
      <x:c r="K16" s="10" t="s">
        <x:v>457</x:v>
      </x:c>
      <x:c r="L16" s="10" t="s">
        <x:v>531</x:v>
      </x:c>
    </x:row>
    <x:row r="17" ht="46.25" hidden="0">
      <x:c r="A17" s="9" t="s">
        <x:v>532</x:v>
      </x:c>
      <x:c r="B17" s="9" t="s">
        <x:v>533</x:v>
      </x:c>
      <x:c r="C17" s="9" t="s">
        <x:v>534</x:v>
      </x:c>
      <x:c r="D17" s="9">
        <x:v>3</x:v>
      </x:c>
      <x:c r="E17" s="9">
        <x:v>3</x:v>
      </x:c>
      <x:c r="F17" s="9" t="n">
        <x:f>D17*E17</x:f>
        <x:v>9</x:v>
      </x:c>
      <x:c r="G17" s="9" t="str">
        <x:f>IF(F17&gt;=20,"Critical",IF(F17&gt;=12,"High",IF(F17&gt;=6,"Medium","Low")))</x:f>
        <x:v>Medium</x:v>
      </x:c>
      <x:c r="H17" s="9" t="s">
        <x:v>535</x:v>
      </x:c>
      <x:c r="I17" s="9" t="s">
        <x:v>536</x:v>
      </x:c>
      <x:c r="J17" s="9" t="s">
        <x:v>471</x:v>
      </x:c>
      <x:c r="K17" s="9" t="s">
        <x:v>537</x:v>
      </x:c>
      <x:c r="L17" s="9" t="s">
        <x:v>538</x:v>
      </x:c>
    </x:row>
    <x:row r="18" ht="35.04999923706055" hidden="0">
      <x:c r="A18" s="10" t="inlineStr">
        <x:is>
          <x:t xml:space="preserve">RSK-16</x:t>
        </x:is>
      </x:c>
      <x:c r="B18" s="10" t="inlineStr">
        <x:is>
          <x:t xml:space="preserve">The coded status transition table and the controlled Status Model register drift apart after a later change.</x:t>
        </x:is>
      </x:c>
      <x:c r="C18" s="10" t="inlineStr">
        <x:is>
          <x:t xml:space="preserve">A change is made to the Status Model or transition rules without re-exporting the controlled fixture and updating the implementation and tests together.</x:t>
        </x:is>
      </x:c>
      <x:c r="D18" s="10" t="n">
        <x:v>2</x:v>
      </x:c>
      <x:c r="E18" s="10" t="n">
        <x:v>4</x:v>
      </x:c>
      <x:c r="F18" s="13" t="n">
        <x:f aca="0">D18*E18</x:f>
        <x:v>8</x:v>
      </x:c>
      <x:c r="G18" s="13" t="str">
        <x:f aca="0">IF(F18&gt;=20,"Critical",IF(F18&gt;=12,"High",IF(F18&gt;=6,"Medium","Low")))</x:f>
        <x:v>Medium</x:v>
      </x:c>
      <x:c r="H18" s="10" t="inlineStr">
        <x:is>
          <x:t xml:space="preserve">Require every controlled Status Model change to update the transition table, re-export the fixture from the controlled register and run the exhaustive transition tests in the same change.</x:t>
        </x:is>
      </x:c>
      <x:c r="I18" s="10" t="inlineStr">
        <x:is>
          <x:t xml:space="preserve">Stop the affected status change from merging or releasing, reconcile the table against the controlled Status Model, regenerate the fixture and rerun the full transition matrix before accepting the change.</x:t>
        </x:is>
      </x:c>
      <x:c r="J18" s="10" t="inlineStr">
        <x:is>
          <x:t xml:space="preserve">Darius Mushi</x:t>
        </x:is>
      </x:c>
      <x:c r="K18" s="10" t="str">
        <x:v>M3 (7 October 2026): Open. The fixture re-export remains controlled technical debt TD-001. #136 adds an exporter/check for the corrected Access Matrix; the CI --check integration remains under #110.</x:v>
      </x:c>
      <x:c r="L18" s="10" t="inlineStr">
        <x:is>
          <x:t xml:space="preserve">ADR-005, RSK-09, FEC-02, FR-016, #61, #93</x:t>
        </x:is>
      </x:c>
    </x:row>
    <x:row r="19" ht="35.04999923706055" hidden="0">
      <x:c r="A19" s="9" t="inlineStr">
        <x:is>
          <x:t xml:space="preserve">RSK-17</x:t>
        </x:is>
      </x:c>
      <x:c r="B19" s="9" t="inlineStr">
        <x:is>
          <x:t xml:space="preserve">A new request query bypasses the central authorisation scope and exposes records that the actor is not authorised to see.</x:t>
        </x:is>
      </x:c>
      <x:c r="C19" s="9" t="inlineStr">
        <x:is>
          <x:t xml:space="preserve">A query is implemented without using the ADR-006 scoped query condition, the scopedWhere path.</x:t>
        </x:is>
      </x:c>
      <x:c r="D19" s="9" t="n">
        <x:v>2</x:v>
      </x:c>
      <x:c r="E19" s="9" t="n">
        <x:v>5</x:v>
      </x:c>
      <x:c r="F19" s="11" t="n">
        <x:f aca="0">D19*E19</x:f>
        <x:v>10</x:v>
      </x:c>
      <x:c r="G19" s="11" t="str">
        <x:f aca="0">IF(F19&gt;=20,"Critical",IF(F19&gt;=12,"High",IF(F19&gt;=6,"Medium","Low")))</x:f>
        <x:v>Medium</x:v>
      </x:c>
      <x:c r="H19" s="9" t="inlineStr">
        <x:is>
          <x:t xml:space="preserve">Require all request queries to obtain their scope from the central authorisation policy, review every new query for the scoped path, and execute the NFR-005 negative authorisation matrix against endpoints.</x:t>
        </x:is>
      </x:c>
      <x:c r="I19" s="9" t="inlineStr">
        <x:is>
          <x:t xml:space="preserve">Disable or fix the unscoped path immediately, assess whether unauthorised records were exposed, record the incident, and rerun the complete negative authorisation test matrix before release.</x:t>
        </x:is>
      </x:c>
      <x:c r="J19" s="9" t="inlineStr">
        <x:is>
          <x:t xml:space="preserve">Tristan Roets</x:t>
        </x:is>
      </x:c>
      <x:c r="K19" s="9" t="str">
        <x:v>M3 (7 October 2026): Open. The #114 queue service is designed so search and filters are always combined with the ADR-006 scoped query condition. Prisma/HTTP integration and the #121 tests remain pending.</x:v>
      </x:c>
      <x:c r="L19" s="9" t="inlineStr">
        <x:is>
          <x:t xml:space="preserve">ADR-006, ADR-007, RSK-05, FEC-01, NFR-005, #62, #94</x:t>
        </x:is>
      </x:c>
    </x:row>
    <x:row r="20" ht="35.04999923706055" hidden="0">
      <x:c r="A20" s="10" t="inlineStr">
        <x:is>
          <x:t xml:space="preserve">RSK-18</x:t>
        </x:is>
      </x:c>
      <x:c r="B20" s="10" t="inlineStr">
        <x:is>
          <x:t xml:space="preserve">Reporting load degrades operational request-query performance because reporting and operational work share the same PostgreSQL store.</x:t>
        </x:is>
      </x:c>
      <x:c r="C20" s="10" t="inlineStr">
        <x:is>
          <x:t xml:space="preserve">ADR-001 and ADR-007 keep reporting on the transactional store while request volume and retention are unknown (FEC-06).</x:t>
        </x:is>
      </x:c>
      <x:c r="D20" s="10" t="n">
        <x:v>2</x:v>
      </x:c>
      <x:c r="E20" s="10" t="n">
        <x:v>3</x:v>
      </x:c>
      <x:c r="F20" s="13" t="n">
        <x:f aca="0">D20*E20</x:f>
        <x:v>6</x:v>
      </x:c>
      <x:c r="G20" s="13" t="str">
        <x:f aca="0">IF(F20&gt;=20,"Critical",IF(F20&gt;=12,"High",IF(F20&gt;=6,"Medium","Low")))</x:f>
        <x:v>Medium</x:v>
      </x:c>
      <x:c r="H20" s="10" t="inlineStr">
        <x:is>
          <x:t xml:space="preserve">Use appropriate indexes and measure NFR-001 under reporting load before introducing extra infrastructure.</x:t>
        </x:is>
      </x:c>
      <x:c r="I20" s="10" t="inlineStr">
        <x:is>
          <x:t xml:space="preserve">Move reporting behind a separate read path or replica if the ADR-001 and NFR-001 trigger is reached.</x:t>
        </x:is>
      </x:c>
      <x:c r="J20" s="10" t="inlineStr">
        <x:is>
          <x:t xml:space="preserve">Tristan Roets</x:t>
        </x:is>
      </x:c>
      <x:c r="K20" s="10" t="inlineStr">
        <x:is>
          <x:t xml:space="preserve">Open</x:t>
        </x:is>
      </x:c>
      <x:c r="L20" s="10" t="inlineStr">
        <x:is>
          <x:t xml:space="preserve">ADR-007, FEC-06, NFR-001, #58, #97</x:t>
        </x:is>
      </x:c>
    </x:row>
    <x:row r="21" ht="35.04999923706055" hidden="0">
      <x:c r="A21" s="9" t="inlineStr">
        <x:is>
          <x:t xml:space="preserve">RSK-19</x:t>
        </x:is>
      </x:c>
      <x:c r="B21" s="9" t="inlineStr">
        <x:is>
          <x:t xml:space="preserve">Audit evidence becomes inconsistent with the current Request state because a controlled state change is written outside the required transaction boundary.</x:t>
        </x:is>
      </x:c>
      <x:c r="C21" s="9" t="inlineStr">
        <x:is>
          <x:t xml:space="preserve">A status, assignee or priority change is persisted by a path that does not write its audit entry in the same transaction.</x:t>
        </x:is>
      </x:c>
      <x:c r="D21" s="9" t="n">
        <x:v>2</x:v>
      </x:c>
      <x:c r="E21" s="9" t="n">
        <x:v>5</x:v>
      </x:c>
      <x:c r="F21" s="11" t="n">
        <x:f aca="0">D21*E21</x:f>
        <x:v>10</x:v>
      </x:c>
      <x:c r="G21" s="11" t="str">
        <x:f aca="0">IF(F21&gt;=20,"Critical",IF(F21&gt;=12,"High",IF(F21&gt;=6,"Medium","Low")))</x:f>
        <x:v>Medium</x:v>
      </x:c>
      <x:c r="H21" s="9" t="inlineStr">
        <x:is>
          <x:t xml:space="preserve">Expose transactional persistence operations for status, assignee and priority changes and verify rollback and reconciliation behaviour against FR-025 and NFR-011.</x:t>
        </x:is>
      </x:c>
      <x:c r="I21" s="9" t="inlineStr">
        <x:is>
          <x:t xml:space="preserve">Block further affected changes, identify inconsistent records, reconcile them from controlled evidence and fix the transaction path before release.</x:t>
        </x:is>
      </x:c>
      <x:c r="J21" s="9" t="inlineStr">
        <x:is>
          <x:t xml:space="preserve">Tristan Roets</x:t>
        </x:is>
      </x:c>
      <x:c r="K21" s="9" t="str">
        <x:v>M3 (7 October 2026): Open. #132 keeps workflow, status-history and audit writes in one transaction. Database-level audit immutability still depends on the #109 persistence migration/wiring.</x:v>
      </x:c>
      <x:c r="L21" s="9" t="inlineStr">
        <x:is>
          <x:t xml:space="preserve">ADR-007, ADR-001 rule 3, FR-025, FR-026, NFR-011, #58, #97</x:t>
        </x:is>
      </x:c>
    </x:row>
    <x:row r="22" ht="35.04999923706055" hidden="0">
      <x:c r="A22" s="10" t="inlineStr">
        <x:is>
          <x:t xml:space="preserve">RSK-20</x:t>
        </x:is>
      </x:c>
      <x:c r="B22" s="10" t="inlineStr">
        <x:is>
          <x:t xml:space="preserve">A database backup exists but cannot successfully restore the CivicConnect service when recovery is required.</x:t>
        </x:is>
      </x:c>
      <x:c r="C22" s="10" t="inlineStr">
        <x:is>
          <x:t xml:space="preserve">Backups are taken without a tested restore procedure, and the hosting platform is not yet decided (DEC-010).</x:t>
        </x:is>
      </x:c>
      <x:c r="D22" s="10" t="n">
        <x:v>2</x:v>
      </x:c>
      <x:c r="E22" s="10" t="n">
        <x:v>5</x:v>
      </x:c>
      <x:c r="F22" s="13" t="n">
        <x:f aca="0">D22*E22</x:f>
        <x:v>10</x:v>
      </x:c>
      <x:c r="G22" s="13" t="str">
        <x:f aca="0">IF(F22&gt;=20,"Critical",IF(F22&gt;=12,"High",IF(F22&gt;=6,"Medium","Low")))</x:f>
        <x:v>Medium</x:v>
      </x:c>
      <x:c r="H22" s="10" t="inlineStr">
        <x:is>
          <x:t xml:space="preserve">DEC-010 must define persistent database storage plus a tested backup-and-restore procedure; a backup is not accepted as recovery evidence until restoration succeeds.</x:t>
        </x:is>
      </x:c>
      <x:c r="I22" s="10" t="inlineStr">
        <x:is>
          <x:t xml:space="preserve">Restore from the most recent proven recoverable copy, document data loss or recovery limitations, and correct the backup and recovery process before production readiness is claimed.</x:t>
        </x:is>
      </x:c>
      <x:c r="J22" s="10" t="inlineStr">
        <x:is>
          <x:t xml:space="preserve">Darius Mushi</x:t>
        </x:is>
      </x:c>
      <x:c r="K22" s="10" t="inlineStr">
        <x:is>
          <x:t xml:space="preserve">Open</x:t>
        </x:is>
      </x:c>
      <x:c r="L22" s="10" t="inlineStr">
        <x:is>
          <x:t xml:space="preserve">ADR-007, DEC-010, #58, #97, #60</x:t>
        </x:is>
      </x:c>
    </x:row>
    <x:row r="23" ht="35.04999923706055" hidden="0">
      <x:c r="A23" s="9" t="inlineStr">
        <x:is>
          <x:t xml:space="preserve">RSK-21</x:t>
        </x:is>
      </x:c>
      <x:c r="B23" s="9" t="inlineStr">
        <x:is>
          <x:t xml:space="preserve">The authoritative Prisma schema and the physical PostgreSQL migration drift apart.</x:t>
        </x:is>
      </x:c>
      <x:c r="C23" s="9" t="inlineStr">
        <x:is>
          <x:t xml:space="preserve">The initial SQL and the Prisma schema are maintained as two definitions instead of generating migrations from one model.</x:t>
        </x:is>
      </x:c>
      <x:c r="D23" s="9" t="n">
        <x:v>2</x:v>
      </x:c>
      <x:c r="E23" s="9" t="n">
        <x:v>4</x:v>
      </x:c>
      <x:c r="F23" s="11" t="n">
        <x:f aca="0">D23*E23</x:f>
        <x:v>8</x:v>
      </x:c>
      <x:c r="G23" s="11" t="str">
        <x:f aca="0">IF(F23&gt;=20,"Critical",IF(F23&gt;=12,"High",IF(F23&gt;=6,"Medium","Low")))</x:f>
        <x:v>Medium</x:v>
      </x:c>
      <x:c r="H23" s="9" t="inlineStr">
        <x:is>
          <x:t xml:space="preserve">Keep prisma/schema.prisma authoritative, use explicit physical-name mappings and generate and review migrations against that model rather than manually maintaining two independent schemas.</x:t>
        </x:is>
      </x:c>
      <x:c r="I23" s="9" t="inlineStr">
        <x:is>
          <x:t xml:space="preserve">Stop schema deployment, compare the live migration against the Prisma model, correct the migration through controlled change and verify existing data before continuing.</x:t>
        </x:is>
      </x:c>
      <x:c r="J23" s="9" t="inlineStr">
        <x:is>
          <x:t xml:space="preserve">Tristan Roets</x:t>
        </x:is>
      </x:c>
      <x:c r="K23" s="9" t="str">
        <x:v>M3 (7 October 2026): Open. #109 has the ADR-007 Prisma schema and seed design prepared. Its migration is deliberately waiting for #108/#90 to introduce the first User migration, avoiding a duplicate schema definition.</x:v>
      </x:c>
      <x:c r="L23" s="9" t="inlineStr">
        <x:is>
          <x:t xml:space="preserve">ADR-007, ADR-002, DEC-011, #58, #97</x:t>
        </x:is>
      </x:c>
    </x:row>
    <x:row r="24" ht="35.04999923706055" hidden="0">
      <x:c r="A24" s="10" t="inlineStr">
        <x:is>
          <x:t xml:space="preserve">RSK-22</x:t>
        </x:is>
      </x:c>
      <x:c r="B24" s="10" t="inlineStr">
        <x:is>
          <x:t xml:space="preserve">Reported requester urgency is accidentally treated as staff-controlled priority.</x:t>
        </x:is>
      </x:c>
      <x:c r="C24" s="10" t="inlineStr">
        <x:is>
          <x:t xml:space="preserve">The two attributes are confused in storage or in a service operation, against DEC-002 and FR-021.</x:t>
        </x:is>
      </x:c>
      <x:c r="D24" s="10" t="n">
        <x:v>2</x:v>
      </x:c>
      <x:c r="E24" s="10" t="n">
        <x:v>3</x:v>
      </x:c>
      <x:c r="F24" s="13" t="n">
        <x:f aca="0">D24*E24</x:f>
        <x:v>6</x:v>
      </x:c>
      <x:c r="G24" s="13" t="str">
        <x:f aca="0">IF(F24&gt;=20,"Critical",IF(F24&gt;=12,"High",IF(F24&gt;=6,"Medium","Low")))</x:f>
        <x:v>Medium</x:v>
      </x:c>
      <x:c r="H24" s="10" t="inlineStr">
        <x:is>
          <x:t xml:space="preserve">Persist reportedUrgency and priority as separate fields and prevent staff operations from changing reportedUrgency.</x:t>
        </x:is>
      </x:c>
      <x:c r="I24" s="10" t="inlineStr">
        <x:is>
          <x:t xml:space="preserve">Correct the affected request data, review audit evidence for the change and fix the service validation that allowed the fields to be confused.</x:t>
        </x:is>
      </x:c>
      <x:c r="J24" s="10" t="inlineStr">
        <x:is>
          <x:t xml:space="preserve">Tristan Roets</x:t>
        </x:is>
      </x:c>
      <x:c r="K24" s="10" t="inlineStr">
        <x:is>
          <x:t xml:space="preserve">Open</x:t>
        </x:is>
      </x:c>
      <x:c r="L24" s="10" t="inlineStr">
        <x:is>
          <x:t xml:space="preserve">ADR-007, DEC-002, FR-005, FR-021, #58, #97</x:t>
        </x:is>
      </x:c>
    </x:row>
    <x:row r="25" ht="35.04999923706055" hidden="0">
      <x:c r="A25" s="9" t="inlineStr">
        <x:is>
          <x:t xml:space="preserve">RSK-23</x:t>
        </x:is>
      </x:c>
      <x:c r="B25" s="9" t="inlineStr">
        <x:is>
          <x:t xml:space="preserve">An internal ActionEntry is disclosed to a Requester because visibility is defaulted or incorrectly assigned.</x:t>
        </x:is>
      </x:c>
      <x:c r="C25" s="9" t="inlineStr">
        <x:is>
          <x:t xml:space="preserve">An entry is written without an explicit visibility, or a read path does not apply the requester-visible scope.</x:t>
        </x:is>
      </x:c>
      <x:c r="D25" s="9" t="n">
        <x:v>2</x:v>
      </x:c>
      <x:c r="E25" s="9" t="n">
        <x:v>5</x:v>
      </x:c>
      <x:c r="F25" s="11" t="n">
        <x:f aca="0">D25*E25</x:f>
        <x:v>10</x:v>
      </x:c>
      <x:c r="G25" s="11" t="str">
        <x:f aca="0">IF(F25&gt;=20,"Critical",IF(F25&gt;=12,"High",IF(F25&gt;=6,"Medium","Low")))</x:f>
        <x:v>Medium</x:v>
      </x:c>
      <x:c r="H25" s="9" t="inlineStr">
        <x:is>
          <x:t xml:space="preserve">Make ActionEntry visibility mandatory with no default and require an explicit value on every new ActionEntry. ADR-006 must apply the requester-visible scope on reads.</x:t>
        </x:is>
      </x:c>
      <x:c r="I25" s="9" t="inlineStr">
        <x:is>
          <x:t xml:space="preserve">Remove requester access to the affected entry, assess the disclosure, correct the visibility data and fix the write or read path before release.</x:t>
        </x:is>
      </x:c>
      <x:c r="J25" s="9" t="inlineStr">
        <x:is>
          <x:t xml:space="preserve">Tristan Roets</x:t>
        </x:is>
      </x:c>
      <x:c r="K25" s="9" t="inlineStr">
        <x:is>
          <x:t xml:space="preserve">Open</x:t>
        </x:is>
      </x:c>
      <x:c r="L25" s="9" t="inlineStr">
        <x:is>
          <x:t xml:space="preserve">ADR-007, ADR-006, DEC-003, FR-011, FR-017, RSK-05, #58, #97</x:t>
        </x:is>
      </x:c>
    </x:row>
    <x:row r="26" ht="35.04999923706055" hidden="0">
      <x:c r="A26" s="10" t="inlineStr">
        <x:is>
          <x:t xml:space="preserve">RSK-24</x:t>
        </x:is>
      </x:c>
      <x:c r="B26" s="10" t="inlineStr">
        <x:is>
          <x:t xml:space="preserve">Module boundaries inside the modular monolith erode under schedule pressure until the application becomes a tangled unit, increasing later change cost and threatening NFR-012.</x:t>
        </x:is>
      </x:c>
      <x:c r="C26" s="10" t="inlineStr">
        <x:is>
          <x:t xml:space="preserve">Schedule pressure causes developers to bypass declared module interfaces and call another module directly because it is quicker.</x:t>
        </x:is>
      </x:c>
      <x:c r="D26" s="10" t="n">
        <x:v>3</x:v>
      </x:c>
      <x:c r="E26" s="10" t="n">
        <x:v>4</x:v>
      </x:c>
      <x:c r="F26" s="13" t="n">
        <x:f aca="0">D26*E26</x:f>
        <x:v>12</x:v>
      </x:c>
      <x:c r="G26" s="13" t="str">
        <x:f aca="0">IF(F26&gt;=20,"Critical",IF(F26&gt;=12,"High",IF(F26&gt;=6,"Medium","Low")))</x:f>
        <x:v>High</x:v>
      </x:c>
      <x:c r="H26" s="10" t="inlineStr">
        <x:is>
          <x:t xml:space="preserve">Keep dependencies behind declared module interfaces, enforce boundaries through review, and add the dependency check under #67 when the structure exists to check automatically.</x:t>
        </x:is>
      </x:c>
      <x:c r="I26" s="10" t="inlineStr">
        <x:is>
          <x:t xml:space="preserve">Stop further feature work on the affected path and refactor the coupled modules back behind their declared interfaces before continuing.</x:t>
        </x:is>
      </x:c>
      <x:c r="J26" s="10" t="inlineStr">
        <x:is>
          <x:t xml:space="preserve">Jean Smit</x:t>
        </x:is>
      </x:c>
      <x:c r="K26" s="10" t="inlineStr">
        <x:is>
          <x:t xml:space="preserve">Open</x:t>
        </x:is>
      </x:c>
      <x:c r="L26" s="10" t="inlineStr">
        <x:is>
          <x:t xml:space="preserve">ADR-001, NFR-012, CON-02, RSK-01, #57, #67</x:t>
        </x:is>
      </x:c>
    </x:row>
    <x:row r="27" ht="35.04999923706055" hidden="0">
      <x:c r="A27" s="9" t="inlineStr">
        <x:is>
          <x:t xml:space="preserve">RSK-25</x:t>
        </x:is>
      </x:c>
      <x:c r="B27" s="9" t="inlineStr">
        <x:is>
          <x:t xml:space="preserve">An unpinned Prisma install can mix incompatible Prisma versions, such as the Prisma 8 release candidate with the Prisma 7 client.</x:t>
        </x:is>
      </x:c>
      <x:c r="C27" s="9" t="inlineStr">
        <x:is>
          <x:t xml:space="preserve">Prisma packages are installed without the exact controlled pins, allowing Prisma 8 release-candidate or otherwise mismatched versions to drift from the approved Prisma 7 stack.</x:t>
        </x:is>
      </x:c>
      <x:c r="D27" s="9" t="n">
        <x:v>2</x:v>
      </x:c>
      <x:c r="E27" s="9" t="n">
        <x:v>4</x:v>
      </x:c>
      <x:c r="F27" s="11" t="n">
        <x:f aca="0">D27*E27</x:f>
        <x:v>8</x:v>
      </x:c>
      <x:c r="G27" s="11" t="str">
        <x:f aca="0">IF(F27&gt;=20,"Critical",IF(F27&gt;=12,"High",IF(F27&gt;=6,"Medium","Low")))</x:f>
        <x:v>Medium</x:v>
      </x:c>
      <x:c r="H27" s="9" t="inlineStr">
        <x:is>
          <x:t xml:space="preserve">Pin all Prisma packages to the same exact version, keep the lockfile committed, and use npm ci. Prisma 8 should only be adopted through a later controlled decision after stable release.</x:t>
        </x:is>
      </x:c>
      <x:c r="I27" s="9" t="inlineStr">
        <x:is>
          <x:t xml:space="preserve">Restore the exact approved Prisma version pins and committed lockfile, run npm ci, regenerate the Prisma client and rerun the build and tests before continuing.</x:t>
        </x:is>
      </x:c>
      <x:c r="J27" s="9" t="inlineStr">
        <x:is>
          <x:t xml:space="preserve">Darius Mushi</x:t>
        </x:is>
      </x:c>
      <x:c r="K27" s="9" t="inlineStr">
        <x:is>
          <x:t xml:space="preserve">Open</x:t>
        </x:is>
      </x:c>
      <x:c r="L27" s="9" t="inlineStr">
        <x:is>
          <x:t xml:space="preserve">ADR-002, RSK-12, DEC-008, #59, #90</x:t>
        </x:is>
      </x:c>
    </x:row>
    <x:row r="28" ht="35.04999923706055" hidden="0">
      <x:c r="A28" s="10" t="inlineStr">
        <x:is>
          <x:t xml:space="preserve">RSK-26</x:t>
        </x:is>
      </x:c>
      <x:c r="B28" s="10" t="inlineStr">
        <x:is>
          <x:t xml:space="preserve">node-cron runs inside the application process, so if more than one application instance is running, every scheduled job can execute more than once.</x:t>
        </x:is>
      </x:c>
      <x:c r="C28" s="10" t="inlineStr">
        <x:is>
          <x:t xml:space="preserve">More than one application instance runs while node-cron scheduling is enabled, causing every instance to fire the same scheduled job.</x:t>
        </x:is>
      </x:c>
      <x:c r="D28" s="10" t="n">
        <x:v>2</x:v>
      </x:c>
      <x:c r="E28" s="10" t="n">
        <x:v>4</x:v>
      </x:c>
      <x:c r="F28" s="13" t="n">
        <x:f aca="0">D28*E28</x:f>
        <x:v>8</x:v>
      </x:c>
      <x:c r="G28" s="13" t="str">
        <x:f aca="0">IF(F28&gt;=20,"Critical",IF(F28&gt;=12,"High",IF(F28&gt;=6,"Medium","Low")))</x:f>
        <x:v>Medium</x:v>
      </x:c>
      <x:c r="H28" s="10" t="inlineStr">
        <x:is>
          <x:t xml:space="preserve">DEC-010 must run exactly one instance while in-process scheduling is in use. Revisit the scheduling approach before introducing multiple application instances or asynchronous workers.</x:t>
        </x:is>
      </x:c>
      <x:c r="I28" s="10" t="inlineStr">
        <x:is>
          <x:t xml:space="preserve">Stop the duplicate scheduled execution and ensure exactly one application instance performs scheduling until a controlled alternative scheduler design is approved.</x:t>
        </x:is>
      </x:c>
      <x:c r="J28" s="10" t="inlineStr">
        <x:is>
          <x:t xml:space="preserve">Darius Mushi</x:t>
        </x:is>
      </x:c>
      <x:c r="K28" s="10" t="inlineStr">
        <x:is>
          <x:t xml:space="preserve">Open</x:t>
        </x:is>
      </x:c>
      <x:c r="L28" s="10" t="inlineStr">
        <x:is>
          <x:t xml:space="preserve">ADR-002, DEC-010, FEC-03, RSK-02, #59, #60</x:t>
        </x:is>
      </x:c>
    </x:row>
    <x:row r="29" ht="35.04999923706055" hidden="0">
      <x:c r="A29" s="9" t="inlineStr">
        <x:is>
          <x:t xml:space="preserve">RSK-27</x:t>
        </x:is>
      </x:c>
      <x:c r="B29" s="9" t="inlineStr">
        <x:is>
          <x:t xml:space="preserve">FR-029 notification event mapping becomes inconsistent with workflow changes.</x:t>
        </x:is>
      </x:c>
      <x:c r="C29" s="9" t="inlineStr">
        <x:is>
          <x:t xml:space="preserve">ADR-005 status transitions are changed without the ADR-008 notification mapping being reviewed and updated at the same time.</x:t>
        </x:is>
      </x:c>
      <x:c r="D29" s="9" t="n">
        <x:v>2</x:v>
      </x:c>
      <x:c r="E29" s="9" t="n">
        <x:v>3</x:v>
      </x:c>
      <x:c r="F29" s="11" t="n">
        <x:f aca="0">D29*E29</x:f>
        <x:v>6</x:v>
      </x:c>
      <x:c r="G29" s="11" t="str">
        <x:f aca="0">IF(F29&gt;=20,"Critical",IF(F29&gt;=12,"High",IF(F29&gt;=6,"Medium","Low")))</x:f>
        <x:v>Medium</x:v>
      </x:c>
      <x:c r="H29" s="9" t="inlineStr">
        <x:is>
          <x:t xml:space="preserve">ADR-005 remains the status-transition authority; every change to a transition used by accepted, rejected or completed notifications must review ADR-008 and the FR-029 mapping before merge.</x:t>
        </x:is>
      </x:c>
      <x:c r="I29" s="9" t="inlineStr">
        <x:is>
          <x:t xml:space="preserve">Stop release of the affected workflow change, correct the notification mapping and tests or evidence, and re-review the affected ADR and RTM references before continuing.</x:t>
        </x:is>
      </x:c>
      <x:c r="J29" s="9" t="inlineStr">
        <x:is>
          <x:t xml:space="preserve">Tristan Roets</x:t>
        </x:is>
      </x:c>
      <x:c r="K29" s="9" t="str">
        <x:v>M3 (7 October 2026): Open. #116 derives notifications from persisted status history and requester-visible action entries, with tests for the ADR-008 event mapping; final persistence/HTTP wiring remains pending.</x:v>
      </x:c>
      <x:c r="L29" s="9" t="inlineStr">
        <x:is>
          <x:t xml:space="preserve">ADR-008, ADR-005, FR-029, #63, #68</x:t>
        </x:is>
      </x:c>
    </x:row>
    <x:row r="30" ht="35.04999923706055" hidden="0">
      <x:c r="A30" s="10" t="inlineStr">
        <x:is>
          <x:t xml:space="preserve">RSK-28</x:t>
        </x:is>
      </x:c>
      <x:c r="B30" s="10" t="inlineStr">
        <x:is>
          <x:t xml:space="preserve">Derived notification queries become inefficient as request history grows.</x:t>
        </x:is>
      </x:c>
      <x:c r="C30" s="10" t="inlineStr">
        <x:is>
          <x:t xml:space="preserve">M2 derives notifications from RequestStatusHistory and requester-visible ActionEntry evidence rather than using a dedicated notification read model or Notification table.</x:t>
        </x:is>
      </x:c>
      <x:c r="D30" s="10" t="n">
        <x:v>2</x:v>
      </x:c>
      <x:c r="E30" s="10" t="n">
        <x:v>3</x:v>
      </x:c>
      <x:c r="F30" s="13" t="n">
        <x:f aca="0">D30*E30</x:f>
        <x:v>6</x:v>
      </x:c>
      <x:c r="G30" s="13" t="str">
        <x:f aca="0">IF(F30&gt;=20,"Critical",IF(F30&gt;=12,"High",IF(F30&gt;=6,"Medium","Low")))</x:f>
        <x:v>Medium</x:v>
      </x:c>
      <x:c r="H30" s="10" t="inlineStr">
        <x:is>
          <x:t xml:space="preserve">ADR-007 owns indexes and query measurement; measure the notification query path as data volume grows and keep requester-scoped queries indexed.</x:t>
        </x:is>
      </x:c>
      <x:c r="I30" s="10" t="inlineStr">
        <x:is>
          <x:t xml:space="preserve">If measured evidence shows the derived-query path is inadequate, introduce a dedicated notification read model or persisted Notification entity through a controlled persistence and interface decision.</x:t>
        </x:is>
      </x:c>
      <x:c r="J30" s="10" t="inlineStr">
        <x:is>
          <x:t xml:space="preserve">Tristan Roets</x:t>
        </x:is>
      </x:c>
      <x:c r="K30" s="10" t="str">
        <x:v>M3 (7 October 2026): Open. #116 keeps notification reads requester-scoped and derived from existing indexed history; performance still needs measurement after #109 provides the final database.</x:v>
      </x:c>
      <x:c r="L30" s="10" t="inlineStr">
        <x:is>
          <x:t xml:space="preserve">ADR-008, ADR-007, FR-029, #63, #68</x:t>
        </x:is>
      </x:c>
    </x:row>
    <x:row r="31" ht="35.04999923706055" hidden="0">
      <x:c r="A31" s="9" t="inlineStr">
        <x:is>
          <x:t xml:space="preserve">RSK-29</x:t>
        </x:is>
      </x:c>
      <x:c r="B31" s="9" t="inlineStr">
        <x:is>
          <x:t xml:space="preserve">External notification delivery is added without durable retry and idempotency behaviour.</x:t>
        </x:is>
      </x:c>
      <x:c r="C31" s="9" t="inlineStr">
        <x:is>
          <x:t xml:space="preserve">Email, SMS or another asynchronous delivery path is introduced from the M2 in-process interface without first defining persistence, retries, duplicate handling, secrets and operational monitoring.</x:t>
        </x:is>
      </x:c>
      <x:c r="D31" s="9" t="n">
        <x:v>2</x:v>
      </x:c>
      <x:c r="E31" s="9" t="n">
        <x:v>4</x:v>
      </x:c>
      <x:c r="F31" s="11" t="n">
        <x:f aca="0">D31*E31</x:f>
        <x:v>8</x:v>
      </x:c>
      <x:c r="G31" s="11" t="str">
        <x:f aca="0">IF(F31&gt;=20,"Critical",IF(F31&gt;=12,"High",IF(F31&gt;=6,"Medium","Low")))</x:f>
        <x:v>Medium</x:v>
      </x:c>
      <x:c r="H31" s="9" t="inlineStr">
        <x:is>
          <x:t xml:space="preserve">Keep SC-D-01 deferred. Reopening external delivery requires a follow-up interface and deployment decision covering persistence, retries, duplicates, secrets and monitoring before implementation.</x:t>
        </x:is>
      </x:c>
      <x:c r="I31" s="9" t="inlineStr">
        <x:is>
          <x:t xml:space="preserve">Disable the external delivery path, retain the in-application persisted-evidence notification behaviour, and redesign the external path with durable retry and idempotency controls before re-enabling it.</x:t>
        </x:is>
      </x:c>
      <x:c r="J31" s="9" t="inlineStr">
        <x:is>
          <x:t xml:space="preserve">Tristan Roets</x:t>
        </x:is>
      </x:c>
      <x:c r="K31" s="9" t="inlineStr">
        <x:is>
          <x:t xml:space="preserve">Open</x:t>
        </x:is>
      </x:c>
      <x:c r="L31" s="9" t="inlineStr">
        <x:is>
          <x:t xml:space="preserve">ADR-008, SC-D-01, FEC-03, ADR-001 rule 4, #63, #68</x:t>
        </x:is>
      </x:c>
    </x:row>
    <x:row r="32" ht="132" hidden="0" customHeight="1">
      <x:c r="A32" s="28" t="str">
        <x:v>RSK-30</x:v>
      </x:c>
      <x:c r="B32" s="28" t="str">
        <x:v>The campus BC Desktop environment differs from the independently verified Node 24 / PostgreSQL 16 environment and the controlled stack fails there.</x:v>
      </x:c>
      <x:c r="C32" s="28" t="str">
        <x:v>The original bootstrap evidence did not prove a campus-lab run: the two #64 verification logs disagree, and CR-004 defers the campus check until lab access allows it.</x:v>
      </x:c>
      <x:c r="D32" s="28" t="n">
        <x:v>3</x:v>
      </x:c>
      <x:c r="E32" s="28" t="n">
        <x:v>3</x:v>
      </x:c>
      <x:c r="F32" s="28" t="n">
        <x:f>D32*E32</x:f>
        <x:v>9</x:v>
      </x:c>
      <x:c r="G32" s="28" t="str">
        <x:f>IF(F32&gt;=20,"Critical",IF(F32&gt;=12,"High",IF(F32&gt;=6,"Medium","Low")))</x:f>
        <x:v>Medium</x:v>
      </x:c>
      <x:c r="H32" s="28" t="str">
        <x:v>Run the CR-004 campus check as soon as lab access allows: record `node -v`, run `npm ci`, `npx prisma generate`, `npx prisma migrate deploy` and `npm test` against PostgreSQL 16, and post the output for review.</x:v>
      </x:c>
      <x:c r="I32" s="28" t="str">
        <x:v>If the campus run fails, capture the environment and failing command, stop claiming campus compatibility, and raise a controlled stack/bootstrap or delivery-environment change before release.</x:v>
      </x:c>
      <x:c r="J32" s="28" t="str">
        <x:v>Darius Mushi</x:v>
      </x:c>
      <x:c r="K32" s="28" t="str">
        <x:v>M3 (7 October 2026): Open. Campus check deferred by CR-004 until lab access allows it.</x:v>
      </x:c>
      <x:c r="L32" s="28" t="str">
        <x:v>CR-004, DEC-016, ADR-002, RSK-01, CON-07, #107, #108, PR #129</x:v>
      </x:c>
    </x:row>
  </x:sheetData>
  <x:mergeCells>
    <x:mergeCell ref="A1:L1"/>
  </x:mergeCells>
  <x:pageMargins left="0.7" right="0.7" top="0.75" bottom="0.75" header="0.3" footer="0.3"/>
  <x:legacyDrawing xmlns:r="http://schemas.openxmlformats.org/officeDocument/2006/relationships" r:id="R3bf5d3c2eec04733"/>
</x:worksheet>
</file>

<file path=xl/worksheets/sheet9.xml><?xml version="1.0" encoding="utf-8"?>
<x:worksheet xmlns:x="http://schemas.openxmlformats.org/spreadsheetml/2006/main">
  <x:sheetViews>
    <x:sheetView showGridLines="1" workbookViewId="0"/>
  </x:sheetViews>
  <x:sheetFormatPr defaultColWidth="8.6796875" defaultRowHeight="15"/>
  <x:cols>
    <x:col min="1" max="1" width="10" hidden="0" customWidth="1"/>
    <x:col min="2" max="2" width="40" hidden="0" customWidth="1"/>
    <x:col min="3" max="3" width="72" hidden="0" customWidth="1"/>
    <x:col min="4" max="4" width="52" hidden="0" customWidth="1"/>
    <x:col min="5" max="5" width="50" hidden="0" customWidth="1"/>
    <x:col min="6" max="6" width="66" hidden="0" customWidth="1"/>
    <x:col min="7" max="7" width="34" hidden="0" customWidth="1"/>
  </x:cols>
  <x:sheetData>
    <x:row r="1" ht="25.5" hidden="0" customHeight="1">
      <x:c r="A1" s="7" t="s">
        <x:v>539</x:v>
      </x:c>
      <x:c r="B1" s="7"/>
      <x:c r="C1" s="7"/>
      <x:c r="D1" s="7"/>
      <x:c r="E1" s="7"/>
      <x:c r="F1" s="7"/>
      <x:c r="G1" s="7"/>
    </x:row>
    <x:row r="2" ht="30" hidden="0" customHeight="1">
      <x:c r="A2" s="8" t="s">
        <x:v>32</x:v>
      </x:c>
      <x:c r="B2" s="8" t="s">
        <x:v>540</x:v>
      </x:c>
      <x:c r="C2" s="8" t="s">
        <x:v>541</x:v>
      </x:c>
      <x:c r="D2" s="8" t="s">
        <x:v>542</x:v>
      </x:c>
      <x:c r="E2" s="8" t="s">
        <x:v>543</x:v>
      </x:c>
      <x:c r="F2" s="8" t="s">
        <x:v>544</x:v>
      </x:c>
      <x:c r="G2" s="8" t="s">
        <x:v>444</x:v>
      </x:c>
    </x:row>
    <x:row r="3" ht="104.05999755859375" hidden="0">
      <x:c r="A3" s="9" t="s">
        <x:v>545</x:v>
      </x:c>
      <x:c r="B3" s="9" t="s">
        <x:v>546</x:v>
      </x:c>
      <x:c r="C3" s="9" t="s">
        <x:v>547</x:v>
      </x:c>
      <x:c r="D3" s="9" t="s">
        <x:v>548</x:v>
      </x:c>
      <x:c r="E3" s="9" t="inlineStr">
        <x:is>
          <x:t xml:space="preserve">M2 (29 September 2026): Partly answered, not closed. ADR-006 (#94) centralises authorisation and query scope, so a later answer changes only the policy module. Still missing: whether Staff scope stays by category or becomes site-based or global.
M1 baseline: Whether Staff scope is ultimately by category, by site, or global; whether SC-D-05 multi-site separation will ever be required.</x:t>
        </x:is>
      </x:c>
      <x:c r="F3" s="9" t="s">
        <x:v>549</x:v>
      </x:c>
      <x:c r="G3" s="9" t="s">
        <x:v>550</x:v>
      </x:c>
    </x:row>
    <x:row r="4" ht="104.05999755859375" hidden="0">
      <x:c r="A4" s="10" t="s">
        <x:v>551</x:v>
      </x:c>
      <x:c r="B4" s="10" t="s">
        <x:v>552</x:v>
      </x:c>
      <x:c r="C4" s="10" t="s">
        <x:v>553</x:v>
      </x:c>
      <x:c r="D4" s="10" t="s">
        <x:v>554</x:v>
      </x:c>
      <x:c r="E4" s="10" t="inlineStr">
        <x:is>
          <x:t xml:space="preserve">M2 (29 September 2026): ADR-005 (#93) holds the status model as a controlled transition table tested against the register. The concern about later status-model changes and their effect on existing data remains, with RSK-16 for the table and register drifting apart.
M1 baseline: The organisation's actual response target, and whether different categories genuinely need different targets (SC-D-03).</x:t>
        </x:is>
      </x:c>
      <x:c r="F4" s="10" t="s">
        <x:v>555</x:v>
      </x:c>
      <x:c r="G4" s="10" t="s">
        <x:v>556</x:v>
      </x:c>
    </x:row>
    <x:row r="5" ht="92.5" hidden="0">
      <x:c r="A5" s="9" t="s">
        <x:v>557</x:v>
      </x:c>
      <x:c r="B5" s="9" t="s">
        <x:v>558</x:v>
      </x:c>
      <x:c r="C5" s="9" t="s">
        <x:v>559</x:v>
      </x:c>
      <x:c r="D5" s="9" t="s">
        <x:v>560</x:v>
      </x:c>
      <x:c r="E5" s="9" t="inlineStr">
        <x:is>
          <x:t xml:space="preserve">M2 (29 September 2026): Still open. ADR-008 (#98) keeps the M2 notification path in-process and leaves asynchronous delivery deferred. DEC-010 (#60) has still to establish platform support for background processing.
M1 baseline: The background-process, scheduled-job and idle-timeout limits of each candidate platform within free-tier terms.</x:t>
        </x:is>
      </x:c>
      <x:c r="F5" s="9" t="s">
        <x:v>561</x:v>
      </x:c>
      <x:c r="G5" s="9" t="s">
        <x:v>562</x:v>
      </x:c>
    </x:row>
    <x:row r="6" ht="69.37999725341797" hidden="0">
      <x:c r="A6" s="10" t="s">
        <x:v>563</x:v>
      </x:c>
      <x:c r="B6" s="10" t="s">
        <x:v>564</x:v>
      </x:c>
      <x:c r="C6" s="10" t="s">
        <x:v>565</x:v>
      </x:c>
      <x:c r="D6" s="10" t="s">
        <x:v>566</x:v>
      </x:c>
      <x:c r="E6" s="10" t="inlineStr">
        <x:is>
          <x:t xml:space="preserve">M2 (29 September 2026): Still open until the generated-data seeding approach exists as implementation evidence.
M1 baseline: Whether the organisation will provide any real historical data, and the retention position the organisation expects.</x:t>
        </x:is>
      </x:c>
      <x:c r="F6" s="10" t="s">
        <x:v>567</x:v>
      </x:c>
      <x:c r="G6" s="10" t="s">
        <x:v>568</x:v>
      </x:c>
    </x:row>
    <x:row r="7" ht="80.94000244140625" hidden="0">
      <x:c r="A7" s="9" t="s">
        <x:v>569</x:v>
      </x:c>
      <x:c r="B7" s="9" t="s">
        <x:v>570</x:v>
      </x:c>
      <x:c r="C7" s="9" t="s">
        <x:v>571</x:v>
      </x:c>
      <x:c r="D7" s="9" t="s">
        <x:v>572</x:v>
      </x:c>
      <x:c r="E7" s="9" t="inlineStr">
        <x:is>
          <x:t xml:space="preserve">M2 (29 September 2026): Still open until DEC-010 (#60) establishes the development, staging and production environment position and the parity evidence.
M1 baseline: Platform cold-start and idle behaviour, deployment mechanism, region and data residency, and whether a previous release can be restored quickly.</x:t>
        </x:is>
      </x:c>
      <x:c r="F7" s="9" t="s">
        <x:v>573</x:v>
      </x:c>
      <x:c r="G7" s="9" t="s">
        <x:v>574</x:v>
      </x:c>
    </x:row>
    <x:row r="8" ht="115.62000274658203" hidden="0">
      <x:c r="A8" s="10" t="s">
        <x:v>575</x:v>
      </x:c>
      <x:c r="B8" s="10" t="s">
        <x:v>576</x:v>
      </x:c>
      <x:c r="C8" s="10" t="s">
        <x:v>577</x:v>
      </x:c>
      <x:c r="D8" s="10" t="s">
        <x:v>578</x:v>
      </x:c>
      <x:c r="E8" s="10" t="inlineStr">
        <x:is>
          <x:t xml:space="preserve">M2 (29 September 2026): Answered for the M2 baseline by ADR-001 and ADR-007: reporting reads the transactional PostgreSQL store for now, with RSK-18 recording the risk. Reopened if the NFR-001 measurement under reporting load, or later volume and retention evidence, shows the shared store is no longer suitable.
M1 baseline: Expected request volume per month and the retention period, neither of which the organisation has yet supplied.</x:t>
        </x:is>
      </x:c>
      <x:c r="F8" s="10" t="s">
        <x:v>579</x:v>
      </x:c>
      <x:c r="G8" s="10" t="s">
        <x:v>580</x:v>
      </x:c>
    </x:row>
    <x:row r="9" ht="46.25" hidden="0">
      <x:c r="A9" s="9" t="s">
        <x:v>581</x:v>
      </x:c>
      <x:c r="B9" s="9" t="s">
        <x:v>582</x:v>
      </x:c>
      <x:c r="C9" s="9" t="s">
        <x:v>583</x:v>
      </x:c>
      <x:c r="D9" s="9" t="s">
        <x:v>584</x:v>
      </x:c>
      <x:c r="E9" s="9" t="s">
        <x:v>585</x:v>
      </x:c>
      <x:c r="F9" s="9" t="s">
        <x:v>586</x:v>
      </x:c>
      <x:c r="G9" s="9" t="s">
        <x:v>587</x:v>
      </x:c>
    </x:row>
  </x:sheetData>
  <x:mergeCells>
    <x:mergeCell ref="A1:G1"/>
  </x:mergeCells>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ColWidth="8.6796875" defaultRowHeight="15"/>
  <x:cols>
    <x:col min="1" max="1" width="10" hidden="0" customWidth="1"/>
    <x:col min="2" max="2" width="40" hidden="0" customWidth="1"/>
    <x:col min="3" max="3" width="18" hidden="0" customWidth="1"/>
    <x:col min="4" max="4" width="54" hidden="0" customWidth="1"/>
    <x:col min="5" max="5" width="34" hidden="0" customWidth="1"/>
    <x:col min="6" max="6" width="54" hidden="0" customWidth="1"/>
    <x:col min="7" max="7" width="40" hidden="0" customWidth="1"/>
    <x:col min="8" max="8" width="66" hidden="0" customWidth="1"/>
    <x:col min="9" max="9" width="54" hidden="0" customWidth="1"/>
    <x:col min="10" max="10" width="46" hidden="0" customWidth="1"/>
    <x:col min="11" max="11" width="60" hidden="0" customWidth="1"/>
    <x:col min="12" max="12" width="52" hidden="0" customWidth="1"/>
  </x:cols>
  <x:sheetData>
    <x:row r="1" ht="25.5" hidden="0" customHeight="1">
      <x:c r="A1" s="7" t="s">
        <x:v>588</x:v>
      </x:c>
      <x:c r="B1" s="7"/>
      <x:c r="C1" s="7"/>
      <x:c r="D1" s="7"/>
      <x:c r="E1" s="7"/>
      <x:c r="F1" s="7"/>
      <x:c r="G1" s="7"/>
      <x:c r="H1" s="7"/>
      <x:c r="I1" s="7"/>
      <x:c r="J1" s="7"/>
      <x:c r="K1" s="7"/>
      <x:c r="L1" s="7"/>
    </x:row>
    <x:row r="2" ht="30" hidden="0" customHeight="1">
      <x:c r="A2" s="8" t="s">
        <x:v>32</x:v>
      </x:c>
      <x:c r="B2" s="8" t="s">
        <x:v>589</x:v>
      </x:c>
      <x:c r="C2" s="8" t="s">
        <x:v>175</x:v>
      </x:c>
      <x:c r="D2" s="8" t="s">
        <x:v>590</x:v>
      </x:c>
      <x:c r="E2" s="8" t="s">
        <x:v>591</x:v>
      </x:c>
      <x:c r="F2" s="8" t="s">
        <x:v>592</x:v>
      </x:c>
      <x:c r="G2" s="8" t="s">
        <x:v>593</x:v>
      </x:c>
      <x:c r="H2" s="8" t="s">
        <x:v>594</x:v>
      </x:c>
      <x:c r="I2" s="8" t="s">
        <x:v>595</x:v>
      </x:c>
      <x:c r="J2" s="8" t="s">
        <x:v>596</x:v>
      </x:c>
      <x:c r="K2" s="8" t="s">
        <x:v>597</x:v>
      </x:c>
      <x:c r="L2" s="8" t="s">
        <x:v>598</x:v>
      </x:c>
    </x:row>
    <x:row r="3" ht="46.25" hidden="0">
      <x:c r="A3" s="9" t="s">
        <x:v>599</x:v>
      </x:c>
      <x:c r="B3" s="9" t="s">
        <x:v>600</x:v>
      </x:c>
      <x:c r="C3" s="9" t="s">
        <x:v>601</x:v>
      </x:c>
      <x:c r="D3" s="9" t="s">
        <x:v>602</x:v>
      </x:c>
      <x:c r="E3" s="9" t="s">
        <x:v>603</x:v>
      </x:c>
      <x:c r="F3" s="9" t="s">
        <x:v>604</x:v>
      </x:c>
      <x:c r="G3" s="9" t="s">
        <x:v>605</x:v>
      </x:c>
      <x:c r="H3" s="9" t="s">
        <x:v>606</x:v>
      </x:c>
      <x:c r="I3" s="9" t="s">
        <x:v>607</x:v>
      </x:c>
      <x:c r="J3" s="9" t="s">
        <x:v>608</x:v>
      </x:c>
      <x:c r="K3" s="9" t="s">
        <x:v>609</x:v>
      </x:c>
      <x:c r="L3" s="9" t="s">
        <x:v>610</x:v>
      </x:c>
    </x:row>
    <x:row r="4" ht="35.04999923706055" hidden="0">
      <x:c r="A4" s="10" t="s">
        <x:v>611</x:v>
      </x:c>
      <x:c r="B4" s="10" t="s">
        <x:v>612</x:v>
      </x:c>
      <x:c r="C4" s="10" t="s">
        <x:v>601</x:v>
      </x:c>
      <x:c r="D4" s="10" t="s">
        <x:v>613</x:v>
      </x:c>
      <x:c r="E4" s="10" t="s">
        <x:v>614</x:v>
      </x:c>
      <x:c r="F4" s="10" t="s">
        <x:v>615</x:v>
      </x:c>
      <x:c r="G4" s="10" t="s">
        <x:v>616</x:v>
      </x:c>
      <x:c r="H4" s="10" t="s">
        <x:v>617</x:v>
      </x:c>
      <x:c r="I4" s="10" t="s">
        <x:v>618</x:v>
      </x:c>
      <x:c r="J4" s="10" t="s">
        <x:v>619</x:v>
      </x:c>
      <x:c r="K4" s="10" t="s">
        <x:v>620</x:v>
      </x:c>
      <x:c r="L4" s="10" t="s">
        <x:v>621</x:v>
      </x:c>
    </x:row>
    <x:row r="5" ht="35.04999923706055" hidden="0">
      <x:c r="A5" s="9" t="s">
        <x:v>622</x:v>
      </x:c>
      <x:c r="B5" s="9" t="s">
        <x:v>623</x:v>
      </x:c>
      <x:c r="C5" s="9" t="s">
        <x:v>601</x:v>
      </x:c>
      <x:c r="D5" s="9" t="s">
        <x:v>624</x:v>
      </x:c>
      <x:c r="E5" s="9" t="s">
        <x:v>625</x:v>
      </x:c>
      <x:c r="F5" s="9" t="s">
        <x:v>626</x:v>
      </x:c>
      <x:c r="G5" s="9" t="s">
        <x:v>627</x:v>
      </x:c>
      <x:c r="H5" s="9" t="s">
        <x:v>628</x:v>
      </x:c>
      <x:c r="I5" s="9" t="s">
        <x:v>629</x:v>
      </x:c>
      <x:c r="J5" s="9" t="s">
        <x:v>630</x:v>
      </x:c>
      <x:c r="K5" s="9" t="s">
        <x:v>631</x:v>
      </x:c>
      <x:c r="L5" s="9" t="s">
        <x:v>632</x:v>
      </x:c>
    </x:row>
    <x:row r="6" ht="35.04999923706055" hidden="0">
      <x:c r="A6" s="10" t="s">
        <x:v>633</x:v>
      </x:c>
      <x:c r="B6" s="10" t="s">
        <x:v>634</x:v>
      </x:c>
      <x:c r="C6" s="10" t="s">
        <x:v>601</x:v>
      </x:c>
      <x:c r="D6" s="10" t="s">
        <x:v>635</x:v>
      </x:c>
      <x:c r="E6" s="10" t="s">
        <x:v>636</x:v>
      </x:c>
      <x:c r="F6" s="10" t="s">
        <x:v>637</x:v>
      </x:c>
      <x:c r="G6" s="10" t="s">
        <x:v>638</x:v>
      </x:c>
      <x:c r="H6" s="10" t="s">
        <x:v>639</x:v>
      </x:c>
      <x:c r="I6" s="10" t="s">
        <x:v>640</x:v>
      </x:c>
      <x:c r="J6" s="10" t="s">
        <x:v>641</x:v>
      </x:c>
      <x:c r="K6" s="10" t="s">
        <x:v>642</x:v>
      </x:c>
      <x:c r="L6" s="10" t="s">
        <x:v>643</x:v>
      </x:c>
    </x:row>
    <x:row r="7" ht="35.04999923706055" hidden="0">
      <x:c r="A7" s="9" t="s">
        <x:v>644</x:v>
      </x:c>
      <x:c r="B7" s="9" t="s">
        <x:v>645</x:v>
      </x:c>
      <x:c r="C7" s="9" t="s">
        <x:v>646</x:v>
      </x:c>
      <x:c r="D7" s="9" t="s">
        <x:v>647</x:v>
      </x:c>
      <x:c r="E7" s="9" t="s">
        <x:v>648</x:v>
      </x:c>
      <x:c r="F7" s="9" t="s">
        <x:v>649</x:v>
      </x:c>
      <x:c r="G7" s="9" t="s">
        <x:v>650</x:v>
      </x:c>
      <x:c r="H7" s="9" t="s">
        <x:v>651</x:v>
      </x:c>
      <x:c r="I7" s="9" t="s">
        <x:v>652</x:v>
      </x:c>
      <x:c r="J7" s="9" t="s">
        <x:v>653</x:v>
      </x:c>
      <x:c r="K7" s="9" t="s">
        <x:v>654</x:v>
      </x:c>
      <x:c r="L7" s="9" t="s">
        <x:v>655</x:v>
      </x:c>
    </x:row>
    <x:row r="8" ht="46.25" hidden="0">
      <x:c r="A8" s="10" t="s">
        <x:v>656</x:v>
      </x:c>
      <x:c r="B8" s="10" t="s">
        <x:v>657</x:v>
      </x:c>
      <x:c r="C8" s="10" t="s">
        <x:v>646</x:v>
      </x:c>
      <x:c r="D8" s="10" t="s">
        <x:v>658</x:v>
      </x:c>
      <x:c r="E8" s="10" t="s">
        <x:v>659</x:v>
      </x:c>
      <x:c r="F8" s="10" t="s">
        <x:v>660</x:v>
      </x:c>
      <x:c r="G8" s="10" t="s">
        <x:v>661</x:v>
      </x:c>
      <x:c r="H8" s="10" t="s">
        <x:v>662</x:v>
      </x:c>
      <x:c r="I8" s="10" t="s">
        <x:v>663</x:v>
      </x:c>
      <x:c r="J8" s="10" t="s">
        <x:v>664</x:v>
      </x:c>
      <x:c r="K8" s="10" t="s">
        <x:v>665</x:v>
      </x:c>
      <x:c r="L8" s="10" t="s">
        <x:v>666</x:v>
      </x:c>
    </x:row>
    <x:row r="9" ht="35.04999923706055" hidden="0">
      <x:c r="A9" s="9" t="s">
        <x:v>667</x:v>
      </x:c>
      <x:c r="B9" s="9" t="s">
        <x:v>668</x:v>
      </x:c>
      <x:c r="C9" s="9" t="s">
        <x:v>669</x:v>
      </x:c>
      <x:c r="D9" s="9" t="s">
        <x:v>670</x:v>
      </x:c>
      <x:c r="E9" s="9" t="s">
        <x:v>671</x:v>
      </x:c>
      <x:c r="F9" s="9" t="s">
        <x:v>672</x:v>
      </x:c>
      <x:c r="G9" s="9" t="s">
        <x:v>673</x:v>
      </x:c>
      <x:c r="H9" s="9" t="s">
        <x:v>674</x:v>
      </x:c>
      <x:c r="I9" s="9" t="s">
        <x:v>675</x:v>
      </x:c>
      <x:c r="J9" s="9" t="s">
        <x:v>676</x:v>
      </x:c>
      <x:c r="K9" s="9" t="s">
        <x:v>677</x:v>
      </x:c>
      <x:c r="L9" s="9" t="s">
        <x:v>678</x:v>
      </x:c>
    </x:row>
    <x:row r="10" ht="128.52000427246094" hidden="0">
      <x:c r="A10" s="10" t="s">
        <x:v>679</x:v>
      </x:c>
      <x:c r="B10" s="10" t="s">
        <x:v>680</x:v>
      </x:c>
      <x:c r="C10" s="10" t="inlineStr">
        <x:is>
          <x:t xml:space="preserve">Decided (M2, ADR-002, merged under #91 on 30 September 2026), conditional on gate 3 and the RSK-01 proof of concept
M1 baseline: DEFERRED to M2</x:t>
        </x:is>
      </x:c>
      <x:c r="D10" s="10" t="inlineStr">
        <x:is>
          <x:t xml:space="preserve">M2 (28 September 2026, ADR-002): ADR-002 answers the eight M1 evidence conditions. ADR-001 fixed the architecture both candidates had to satisfy, and A2 Task 2 assumed PostgreSQL for the FR-008 reference sequence.
M1 baseline: M1 is explicitly not a technology-selection milestone (M1 brief, s5), and the team does not yet hold the evidence to choose responsibly.</x:t>
        </x:is>
      </x:c>
      <x:c r="E10" s="10" t="inlineStr">
        <x:is>
          <x:t xml:space="preserve">M2 (28 September 2026, ADR-002): CON-02 schedule; CON-03 cost; CON-05 security; CON-06 capability; CON-07 BC Desktop availability; CON-08 two approvals. Drivers ASR-04 and ASR-05, with ASR-06 as a bound on complexity (#56).
M1 baseline: CON-06 capability; CON-07 platform availability; CON-03 cost; CON-05 security.</x:t>
        </x:is>
      </x:c>
      <x:c r="F10" s="10" t="inlineStr">
        <x:is>
          <x:t xml:space="preserve">M2 (28 September 2026, ADR-002): (a) Node.js 24 LTS, Express 5 and PostgreSQL through Prisma 7, with React 19 built with Vite. (b) Django 6.1 with PostgreSQL.
M1 baseline: Not yet evaluated. Candidate evaluation is an M2 activity.</x:t>
        </x:is>
      </x:c>
      <x:c r="G10" s="10" t="inlineStr">
        <x:is>
          <x:t xml:space="preserve">M2 (28 September 2026, ADR-002): Option (a) at exact pins: Express 5.2.1; Prisma CLI, client and PostgreSQL adapter 7.10.0; pg 8.23.0; argon2 0.45.1; node-cron 4.6.0; node:test; React 19.3.0 and Vite 8.3.0 with the first client work. Conditional: gate 3 on a BC Desktop machine and the RSK-01 proof of concept must pass before #90 merges.
M1 baseline: Deliberately not decided.</x:t>
        </x:is>
      </x:c>
      <x:c r="H10" s="10" t="inlineStr">
        <x:is>
          <x:t xml:space="preserve">M2 (28 September 2026, ADR-002): Both candidates passed the hard gates and the five measurable drivers came out level. RSK-12 (8) favoured (b), which needs fewer packages. RSK-01 (20) favoured (a), because its baselined mitigation prefers a stack in which at least two of three members have prior exposure, which (a) meets and (b) does not. RSK-01 decided it.
M1 baseline: Deciding now would rest on familiarity rather than evidence, which is the specific failure Master Brief s18.1 warns against.</x:t>
        </x:is>
      </x:c>
      <x:c r="I10" s="10" t="inlineStr">
        <x:is>
          <x:t xml:space="preserve">M2 (28 September 2026, ADR-002): Ten direct packages to justify and maintain against three or four. No built-in password hasher or migrations, supplied by argon2 and Prisma Migrate. The smaller dependency surface of (b) is given up, to be revisited if RSK-12 materialises.
M1 baseline: Deferral costs nothing while requirements are being baselined, because no baselined requirement in this document names a technology.</x:t>
        </x:is>
      </x:c>
      <x:c r="J10" s="10" t="inlineStr">
        <x:is>
          <x:t xml:space="preserve">M2 (28 September 2026, ADR-002): RSK-25 Prisma version drift and RSK-26 duplicate scheduled jobs if more than one instance runs node-cron. RSK-12 materialised on 28 September 2026 (Prisma issue #30295) and is re-scored in the Risk Register.
M1 baseline: Deferring past M2 would begin to constrain construction time. The decision point is the start of M2.</x:t>
        </x:is>
      </x:c>
      <x:c r="K10" s="10" t="inlineStr">
        <x:is>
          <x:t xml:space="preserve">M2 (28 September 2026, ADR-002): ADR-002 (#91). npm registry and PyPI metadata, the Node.js release schedule and Prisma issue #30295; team capability as reported by each member. Still required: gate 3 and the RSK-01 proof of concept.
M1 baseline: Evidence still required: requirement and architecture fit; realistic learning curve for these three members; availability and compatibility on the BC Desktop platform; dependency ecosystem maturity; testing and automation support; deployment compatibility; free-tier limits and likely operational cost; lock-in and unavailability consequences.</x:t>
        </x:is>
      </x:c>
      <x:c r="L10" s="10" t="inlineStr">
        <x:is>
          <x:t xml:space="preserve">M2 (28 September 2026, ADR-002): DEC-010 (#60) must provide a Node 24 runtime and PostgreSQL, and run one instance while node-cron is used. Upgrading to Prisma 8 is a separate decision once it is stable. #90 merges only after both conditions.
M1 baseline: Determines construction, testing and deployment for the remainder of the project.</x:t>
        </x:is>
      </x:c>
    </x:row>
    <x:row r="11" ht="140.1999969482422" hidden="0">
      <x:c r="A11" s="9" t="s">
        <x:v>681</x:v>
      </x:c>
      <x:c r="B11" s="9" t="s">
        <x:v>682</x:v>
      </x:c>
      <x:c r="C11" s="9" t="inlineStr">
        <x:is>
          <x:t xml:space="preserve">Decided (M2, ADR-001)
M1 baseline: DEFERRED to M2</x:t>
        </x:is>
      </x:c>
      <x:c r="D11" s="9" t="inlineStr">
        <x:is>
          <x:t xml:space="preserve">M2 (23 September 2026, ADR-001): ADR-001 in docs/decisions records the context. The drivers in docs/architecture/asr-quality-drivers.md (#56) answer the first evidence condition: NFR-005, NFR-001, NFR-002, NFR-011, NFR-012, NFR-013 and NFR-003 proved architecturally significant, with CON-06 carried as a bound on complexity.
M1 baseline: Architecture must follow from the architecturally significant requirements, and those are only being baselined in this document.</x:t>
        </x:is>
      </x:c>
      <x:c r="E11" s="9" t="inlineStr">
        <x:is>
          <x:t xml:space="preserve">M2 (23 September 2026, ADR-001): Drivers ASR-01 to ASR-06 (#56), which carry NFR-001, NFR-002, NFR-003, NFR-005, NFR-011, NFR-012 and NFR-013. Constraints CON-02 schedule; CON-03 cost; CON-06 capability; CON-07 platform availability; CON-08 governance.
M1 baseline: NFR-001 performance; NFR-003 availability; NFR-005 authorisation; NFR-012 maintainability; CON-06 capability.</x:t>
        </x:is>
      </x:c>
      <x:c r="F11" s="9" t="inlineStr">
        <x:is>
          <x:t xml:space="preserve">M2 (23 September 2026, ADR-001): (a) Modular monolith: one deployable application in modules with explicit interfaces over one relational store. (b) Service per capability. (c) Function per operation. (d) Client application over a hosted data service.
M1 baseline: Not yet evaluated.</x:t>
        </x:is>
      </x:c>
      <x:c r="G11" s="9" t="inlineStr">
        <x:is>
          <x:t xml:space="preserve">M2 (23 September 2026, ADR-001): Option (a), with reporting reading the transactional store for now. Five boundary rules: one server-side entry point; authorisation and read scope decided in the policy module; a status change and its audit entry written in one transaction; notification through an in-process interface; module dependencies through declared interfaces only.
M1 baseline: Deliberately not decided.</x:t>
        </x:is>
      </x:c>
      <x:c r="H11" s="9" t="inlineStr">
        <x:is>
          <x:t xml:space="preserve">M2 (23 September 2026, ADR-001): ASR-01, ASR-03 and ASR-04 favour one enforcement point, one write path and one testable surface, which are cheaper to hold inside a process boundary. ASR-05 and ASR-06 penalise every additional deployable unit, in free-tier quota and in learning time. No baselined requirement asks for independent deployment, independent scaling or a second consumer of the data, so the evidence for (b), (c) and (d) is absent.
M1 baseline: The quality attributes that should drive the choice are baselined here for the first time. Choosing before they were agreed would invert the dependency.</x:t>
        </x:is>
      </x:c>
      <x:c r="I11" s="9" t="inlineStr">
        <x:is>
          <x:t xml:space="preserve">M2 (23 September 2026, ADR-001): Module boundaries inside one process can erode, and review is the control until #67 adds a dependency check. One deployable unit is a single point of failure, accepted against NFR-003's 98 percent within published service hours. Reporting shares the transactional store while volume and retention are unknown (FEC-06). Scaling is whole-application scaling.
M1 baseline: None while requirements work continues.</x:t>
        </x:is>
      </x:c>
      <x:c r="J11" s="9" t="inlineStr">
        <x:is>
          <x:t xml:space="preserve">M2 (23 September 2026, ADR-001): Two risks, recorded under #68: RSK-24 module boundaries eroding under schedule pressure (related to RSK-01 and CON-02), and RSK-18 reporting load degrading the staff queue (FEC-06, related to NFR-001 and RSK-09). DEC-008 (#59) and DEC-010 (#60) are taken against this decision, which answers the M1 risk below.
M1 baseline: The choice interacts with DEC-008 and DEC-010; deciding any one in isolation constrains the other two.</x:t>
        </x:is>
      </x:c>
      <x:c r="K11" s="9" t="inlineStr">
        <x:is>
          <x:t xml:space="preserve">M2 (23 September 2026, ADR-001): ADR-001, approved under #72; drivers in docs/architecture/asr-quality-drivers.md (#56); module and deployment views in docs/architecture/diagrams. ADR-001 answers the three M1 conditions: the significant NFRs are identified; FEC-01 is partly answered, with scope held in the policy module; FEC-06 is answered for now, with the conditions for revisiting it recorded.
M1 baseline: Evidence still required: which NFRs prove architecturally significant; the record-level authorisation shape from FEC-01; the reporting load position from FEC-06.</x:t>
        </x:is>
      </x:c>
      <x:c r="L11" s="9" t="inlineStr">
        <x:is>
          <x:t xml:space="preserve">M2 (23 September 2026, ADR-001): Input to DEC-011 (#58), DEC-008 (#59), DEC-010 (#60) and design decisions #61 and #62. Reporting's use of the transactional store is revisited on the NFR-001 measurement or when volume and retention arrive under #2.
M1 baseline: Sets the structure that maintainability and change cost depend on for the rest of the project.</x:t>
        </x:is>
      </x:c>
    </x:row>
    <x:row r="12" ht="46.25" hidden="0">
      <x:c r="A12" s="10" t="s">
        <x:v>683</x:v>
      </x:c>
      <x:c r="B12" s="10" t="s">
        <x:v>684</x:v>
      </x:c>
      <x:c r="C12" s="10" t="s">
        <x:v>685</x:v>
      </x:c>
      <x:c r="D12" s="10" t="s">
        <x:v>686</x:v>
      </x:c>
      <x:c r="E12" s="10" t="s">
        <x:v>687</x:v>
      </x:c>
      <x:c r="F12" s="10" t="s">
        <x:v>688</x:v>
      </x:c>
      <x:c r="G12" s="10" t="s">
        <x:v>689</x:v>
      </x:c>
      <x:c r="H12" s="10" t="s">
        <x:v>690</x:v>
      </x:c>
      <x:c r="I12" s="10" t="s">
        <x:v>691</x:v>
      </x:c>
      <x:c r="J12" s="10" t="s">
        <x:v>692</x:v>
      </x:c>
      <x:c r="K12" s="10" t="s">
        <x:v>693</x:v>
      </x:c>
      <x:c r="L12" s="10" t="s">
        <x:v>694</x:v>
      </x:c>
    </x:row>
    <x:row r="13" ht="151.8800048828125" hidden="0">
      <x:c r="A13" s="9" t="s">
        <x:v>695</x:v>
      </x:c>
      <x:c r="B13" s="9" t="s">
        <x:v>696</x:v>
      </x:c>
      <x:c r="C13" s="9" t="inlineStr">
        <x:is>
          <x:t xml:space="preserve">Decided (M2, ADR-007, merged under #97 on 30 September 2026)
M1 baseline: DEFERRED to M2</x:t>
        </x:is>
      </x:c>
      <x:c r="D13" s="9" t="inlineStr">
        <x:is>
          <x:t xml:space="preserve">M2 (30 September 2026, ADR-007): ADR-007 designs the data model for FR-005 to FR-009, FR-012 and FR-025 over the one relational store ADR-001 fixed, carrying the A2 Task 2 findings on reference generation, transactions and validation.
M1 baseline: The data model must express FR-012 record isolation, FR-025 audit immutability and the FEC-01 authorisation scope, which are baselined here but not yet designed.</x:t>
        </x:is>
      </x:c>
      <x:c r="E13" s="9" t="inlineStr">
        <x:is>
          <x:t xml:space="preserve">M2 (30 September 2026, ADR-007): CON-05 security; NFR-001 performance; NFR-011 auditability. Drivers ASR-01, ASR-02 and ASR-03 (#56).
M1 baseline: CON-05 security; NFR-001 performance; NFR-011 auditability.</x:t>
        </x:is>
      </x:c>
      <x:c r="F13" s="9" t="inlineStr">
        <x:is>
          <x:t xml:space="preserve">M2 (30 September 2026, ADR-007): ADR-001 and DEC-008 fix one relational PostgreSQL store. Within it, ADR-007 compared: reading the current maximum for the next reference against a database sequence (A2 Task 2); audit evidence in the status history alone against a structured AuditEntry; action entries inside the audit trail against their own entity.
M1 baseline: Not yet evaluated.</x:t>
        </x:is>
      </x:c>
      <x:c r="G13" s="9" t="inlineStr">
        <x:is>
          <x:t xml:space="preserve">M2 (30 September 2026, ADR-007): PostgreSQL as the system of record, with prisma/schema.prisma as the authoritative model and User, Category, UserCategory, Request, ActionEntry, RequestStatusHistory and AuditEntry. References from a database sequence with a unique constraint. Creation and each status, assignee or priority change in one transaction, with one AuditEntry per change. Validation in the interface, service and database. Users and categories deactivated, not deleted.
M1 baseline: Deliberately not decided.</x:t>
        </x:is>
      </x:c>
      <x:c r="H13" s="9" t="inlineStr">
        <x:is>
          <x:t xml:space="preserve">M2 (30 September 2026, ADR-007): The data is strongly related, and the main reads filter by requester, category, status, assignee and date, which foreign keys, constraints, indexes and transactions serve directly. Field names match the scope conditions in ADR-006.
M1 baseline: Schema design is explicitly outside M1 (M1 brief, s5). The requirements it must satisfy are inside M1, and are recorded here.</x:t>
        </x:is>
      </x:c>
      <x:c r="I13" s="9" t="inlineStr">
        <x:is>
          <x:t xml:space="preserve">M2 (30 September 2026, ADR-007): Reference numbers can have gaps after a failed transaction. Reporting shares the transactional store (FEC-06). Status is held on the Request and in its history. Relational schema changes are more controlled.
M1 baseline: None while requirements work continues.</x:t>
        </x:is>
      </x:c>
      <x:c r="J13" s="9" t="inlineStr">
        <x:is>
          <x:t xml:space="preserve">M2 (30 September 2026, ADR-007): Seven in ADR-007, recorded as RSK-17 to RSK-23: a query bypassing the scope, reporting load, audit inconsistent with state, a backup that cannot restore, Prisma and SQL drifting apart, urgency confused with priority, and an internal action entry disclosed.
M1 baseline: This is the longest-lived commitment in the system, because data outlives the application. FEC-01, FEC-02 and FEC-06 all constrain it.</x:t>
        </x:is>
      </x:c>
      <x:c r="K13" s="9" t="inlineStr">
        <x:is>
          <x:t xml:space="preserve">M2 (30 September 2026, ADR-007): ADR-007 and docs/data/initial-schema.sql (#97, merged 30 September 2026), revised through review: location and reported urgency, ActionEntry as its own entity, previous and new values in AuditEntry, and prisma/schema.prisma as the authoritative model.
M1 baseline: Evidence still required: the outcome of DEC-008; expected volume and retention from the organisation (FEC-06); the final record-level scope decision (FEC-01).</x:t>
        </x:is>
      </x:c>
      <x:c r="L13" s="9" t="inlineStr">
        <x:is>
          <x:t xml:space="preserve">M2 (30 September 2026, ADR-007): #65 implements against it. DEC-010 supplies hosting, backup and restore. FEC-06 or the NFR-001 measurement reopens the reporting path.
M1 baseline: Constrains every later change to reporting, authorisation and migration.</x:t>
        </x:is>
      </x:c>
    </x:row>
    <x:row r="14" ht="46.25" hidden="0">
      <x:c r="A14" s="10" t="s">
        <x:v>697</x:v>
      </x:c>
      <x:c r="B14" s="10" t="s">
        <x:v>698</x:v>
      </x:c>
      <x:c r="C14" s="10" t="s">
        <x:v>699</x:v>
      </x:c>
      <x:c r="D14" s="10" t="s">
        <x:v>700</x:v>
      </x:c>
      <x:c r="E14" s="10" t="s">
        <x:v>701</x:v>
      </x:c>
      <x:c r="F14" s="10" t="s">
        <x:v>702</x:v>
      </x:c>
      <x:c r="G14" s="10" t="s">
        <x:v>703</x:v>
      </x:c>
      <x:c r="H14" s="10" t="s">
        <x:v>704</x:v>
      </x:c>
      <x:c r="I14" s="10" t="s">
        <x:v>705</x:v>
      </x:c>
      <x:c r="J14" s="10" t="s">
        <x:v>706</x:v>
      </x:c>
      <x:c r="K14" s="10" t="s">
        <x:v>707</x:v>
      </x:c>
      <x:c r="L14" s="10" t="s">
        <x:v>708</x:v>
      </x:c>
    </x:row>
    <x:row r="15" ht="58.41999816894531" hidden="0">
      <x:c r="A15" s="9" t="inlineStr">
        <x:is>
          <x:t xml:space="preserve">DEC-013</x:t>
        </x:is>
      </x:c>
      <x:c r="B15" s="9" t="inlineStr">
        <x:is>
          <x:t xml:space="preserve">Status transition mechanism (design decision 1)</x:t>
        </x:is>
      </x:c>
      <x:c r="C15" s="9" t="inlineStr">
        <x:is>
          <x:t xml:space="preserve">Decided (M2, ADR-005)</x:t>
        </x:is>
      </x:c>
      <x:c r="D15" s="9" t="inlineStr">
        <x:is>
          <x:t xml:space="preserve">The Status Model permits twelve transitions between seven statuses, each with authorised roles and a guard. The service, the interface and the tests need the same rules, and RSK-09 expects the model to change.</x:t>
        </x:is>
      </x:c>
      <x:c r="E15" s="9" t="inlineStr">
        <x:is>
          <x:t xml:space="preserve">FR-016 refuses every transition outside the model; RSK-09 and FEC-02; ADR-001 rules 2 and 3. Driver ASR-03 (#56).</x:t>
        </x:is>
      </x:c>
      <x:c r="F15" s="9" t="inlineStr">
        <x:is>
          <x:t xml:space="preserve">(a) Conditional logic in the service. (b) The State pattern, a class per status. (c) A declarative transition table with Strategy guards (A2 Task 1).</x:t>
        </x:is>
      </x:c>
      <x:c r="G15" s="9" t="inlineStr">
        <x:is>
          <x:t xml:space="preserve">Option (c), held as frozen data in code in src/modules/workflow-status. A move outside the model is refused first, then authority is checked through the policy passed in as a function, then the guard.</x:t>
        </x:is>
      </x:c>
      <x:c r="H15" s="9" t="inlineStr">
        <x:is>
          <x:t xml:space="preserve">The variation is tabular, so the table matches the Status Model register row for row and is tested against a fixture exported from it. A change to the model is one edited entry and a re-exported fixture.</x:t>
        </x:is>
      </x:c>
      <x:c r="I15" s="9" t="inlineStr">
        <x:is>
          <x:t xml:space="preserve">Guards could grow into a rules language, so they stay small and in code. The fixture has to be re-exported whenever the register changes.</x:t>
        </x:is>
      </x:c>
      <x:c r="J15" s="9" t="inlineStr">
        <x:is>
          <x:t xml:space="preserve">RSK-16: the table and the register drift apart if the register changes without the fixture being re-exported (related to RSK-09).</x:t>
        </x:is>
      </x:c>
      <x:c r="K15" s="9" t="inlineStr">
        <x:is>
          <x:t xml:space="preserve">ADR-005 (#93, merged 29 September 2026). tests/workflow-status.test.js: 196 combinations of status pair and role; three deliberate faults each failed the suite.</x:t>
        </x:is>
      </x:c>
      <x:c r="L15" s="9" t="inlineStr">
        <x:is>
          <x:t xml:space="preserve">#65 wires the service and writes the audit entry in the same transaction (ADR-001 rule 3).</x:t>
        </x:is>
      </x:c>
    </x:row>
    <x:row r="16" ht="58.41999816894531" hidden="0">
      <x:c r="A16" s="10" t="inlineStr">
        <x:is>
          <x:t xml:space="preserve">DEC-014</x:t>
        </x:is>
      </x:c>
      <x:c r="B16" s="10" t="inlineStr">
        <x:is>
          <x:t xml:space="preserve">Authorisation enforcement (design decision 2)</x:t>
        </x:is>
      </x:c>
      <x:c r="C16" s="10" t="inlineStr">
        <x:is>
          <x:t xml:space="preserve">Decided (M2, ADR-006)</x:t>
        </x:is>
      </x:c>
      <x:c r="D16" s="10" t="inlineStr">
        <x:is>
          <x:t xml:space="preserve">Authorisation has a role dimension and a record dimension. NFR-005 is absolute, so one forgotten check is a breach, and NFR-001 rules out loading every request and filtering afterwards.</x:t>
        </x:is>
      </x:c>
      <x:c r="E16" s="10" t="inlineStr">
        <x:is>
          <x:t xml:space="preserve">NFR-005, FR-002, FR-011 to FR-013, NFR-001; ADR-001 rule 2; FEC-01. Driver ASR-01 (#56).</x:t>
        </x:is>
      </x:c>
      <x:c r="F16" s="10" t="inlineStr">
        <x:is>
          <x:t xml:space="preserve">(a) Checks written inline in each handler. (b) A central policy component. (c) Authorisation applied at the query (A2 Task 1).</x:t>
        </x:is>
      </x:c>
      <x:c r="G16" s="10" t="inlineStr">
        <x:is>
          <x:t xml:space="preserve">(c) for reads and (b) for actions, both produced by one policy module, src/modules/authorisation-policy. Scopes are Specifications that yield both the query condition and the check on a single request.</x:t>
        </x:is>
      </x:c>
      <x:c r="H16" s="10" t="inlineStr">
        <x:is>
          <x:t xml:space="preserve">Each option covers what the other handles poorly, and one module keeps every authorisation decision in one place under ADR-001 rule 2. NFR-005 becomes testable cell by cell against the register.</x:t>
        </x:is>
      </x:c>
      <x:c r="I16" s="10" t="inlineStr">
        <x:is>
          <x:t xml:space="preserve">A query that does not use the scope bypasses it. Until a check enforces this, it rests on review and the M3 negative tests at the endpoints.</x:t>
        </x:is>
      </x:c>
      <x:c r="J16" s="10" t="inlineStr">
        <x:is>
          <x:t xml:space="preserve">RSK-17: an unscoped query leaks records (related to RSK-05 and FEC-01). Four Access Matrix cells conflict with the requirements; the policy denies them and CR-002 (#92) takes them to change control.</x:t>
        </x:is>
      </x:c>
      <x:c r="K16" s="10" t="inlineStr">
        <x:is>
          <x:t xml:space="preserve">ADR-006 (#94, merged 29 September 2026). tests/authorisation-policy.test.js: all sixty Access Matrix cells; four deliberate faults each failed the suite.</x:t>
        </x:is>
      </x:c>
      <x:c r="L16" s="10" t="inlineStr">
        <x:is>
          <x:t xml:space="preserve">If FEC-01 changes staff scope, only the policy module changes. #65 applies the scope to every request query.</x:t>
        </x:is>
      </x:c>
    </x:row>
    <x:row r="17" ht="58.41999816894531" hidden="0">
      <x:c r="A17" s="9" t="inlineStr">
        <x:is>
          <x:t xml:space="preserve">DEC-015</x:t>
        </x:is>
      </x:c>
      <x:c r="B17" s="9" t="inlineStr">
        <x:is>
          <x:t xml:space="preserve">Request status notification interface</x:t>
        </x:is>
      </x:c>
      <x:c r="C17" s="9" t="inlineStr">
        <x:is>
          <x:t xml:space="preserve">Decided (M2, ADR-008, merged under #98 on 30 September 2026)</x:t>
        </x:is>
      </x:c>
      <x:c r="D17" s="9" t="inlineStr">
        <x:is>
          <x:t xml:space="preserve">FR-029 requires an in-application indication. DEC-005 keeps other channels out of scope, and ADR-001 rule 4 requires an in-process interface with an extension point.</x:t>
        </x:is>
      </x:c>
      <x:c r="E17" s="9" t="inlineStr">
        <x:is>
          <x:t xml:space="preserve">FR-029; DEC-005; SC-D-01; FEC-03; ADR-001 rule 4.</x:t>
        </x:is>
      </x:c>
      <x:c r="F17" s="9" t="inlineStr">
        <x:is>
          <x:t xml:space="preserve">(a) Indications derived from persisted status history and requester-visible action entries. (b) A separate Notification table. (c) An external notification service or message broker.</x:t>
        </x:is>
      </x:c>
      <x:c r="G17" s="9" t="inlineStr">
        <x:is>
          <x:t xml:space="preserve">Option (a), in process under ADR-001 rule 4. FR-029's four indications are derived from RequestStatusHistory and requester-visible ActionEntry rows, with no separate notification store. Email and SMS stay deferred under SC-D-01.</x:t>
        </x:is>
      </x:c>
      <x:c r="H17" s="9" t="inlineStr">
        <x:is>
          <x:t xml:space="preserve">Both ends are modules in one process, and the evidence FR-029 needs is already persisted, so a separate store or a network boundary would add state and failure handling without a requirement for it. Indications survive the next sign-in with no separate write to fail.</x:t>
        </x:is>
      </x:c>
      <x:c r="I17" s="9" t="inlineStr">
        <x:is>
          <x:t xml:space="preserve">Every notification read maps history and action entries into indications. No independent scaling or buffering of notification work. No external channel in M2.</x:t>
        </x:is>
      </x:c>
      <x:c r="J17" s="9" t="inlineStr">
        <x:is>
          <x:t xml:space="preserve">Four in ADR-008, recorded as RSK-27 (mapping drifts from the workflow), RSK-23 (an internal entry disclosed), RSK-28 (derived queries slow as history grows) and RSK-29 (external delivery without retry and idempotency).</x:t>
        </x:is>
      </x:c>
      <x:c r="K17" s="9" t="inlineStr">
        <x:is>
          <x:t xml:space="preserve">ADR-008 (#98, merged 30 September 2026), with the FR-029 event mapping, security boundary, versioning and the conditions that reopen SC-D-01.</x:t>
        </x:is>
      </x:c>
      <x:c r="L17" s="9" t="inlineStr">
        <x:is>
          <x:t xml:space="preserve">SC-D-01 reopens on the conditions ADR-008 lists. An asynchronous adapter would need its own decision.</x:t>
        </x:is>
      </x:c>
    </x:row>
  </x:sheetData>
  <x:mergeCells>
    <x:mergeCell ref="A1:L1"/>
  </x:mergeCells>
  <x:pageMargins left="0.7" right="0.7" top="0.75" bottom="0.75" header="0.3" footer="0.3"/>
</x:worksheet>
</file>

<file path=xl/worksheets/sheet11.xml><?xml version="1.0" encoding="utf-8"?>
<x:worksheet xmlns:x="http://schemas.openxmlformats.org/spreadsheetml/2006/main">
  <x:sheetViews>
    <x:sheetView showGridLines="1" workbookViewId="0"/>
  </x:sheetViews>
  <x:sheetFormatPr defaultColWidth="8.6796875" defaultRowHeight="15"/>
  <x:cols>
    <x:col min="1" max="1" width="12" hidden="0" customWidth="1"/>
    <x:col min="2" max="2" width="14" hidden="0" customWidth="1"/>
    <x:col min="3" max="3" width="18" hidden="0" customWidth="1"/>
    <x:col min="4" max="4" width="44" hidden="0" customWidth="1"/>
    <x:col min="5" max="5" width="40" hidden="0" customWidth="1"/>
    <x:col min="6" max="6" width="66" hidden="0" customWidth="1"/>
    <x:col min="7" max="7" width="20" hidden="0" customWidth="1"/>
    <x:col min="8" max="8" width="44" hidden="0" customWidth="1"/>
  </x:cols>
  <x:sheetData>
    <x:row r="1" ht="25.5" hidden="0" customHeight="1">
      <x:c r="A1" s="30" t="s">
        <x:v>709</x:v>
      </x:c>
      <x:c r="B1" s="30"/>
      <x:c r="C1" s="30"/>
      <x:c r="D1" s="30"/>
      <x:c r="E1" s="30"/>
      <x:c r="F1" s="30"/>
      <x:c r="G1" s="30"/>
      <x:c r="H1" s="30"/>
    </x:row>
    <x:row r="2" ht="30" hidden="0" customHeight="1">
      <x:c r="A2" s="31" t="s">
        <x:v>710</x:v>
      </x:c>
      <x:c r="B2" s="31" t="s">
        <x:v>711</x:v>
      </x:c>
      <x:c r="C2" s="31" t="s">
        <x:v>712</x:v>
      </x:c>
      <x:c r="D2" s="31" t="s">
        <x:v>713</x:v>
      </x:c>
      <x:c r="E2" s="31" t="s">
        <x:v>714</x:v>
      </x:c>
      <x:c r="F2" s="31" t="s">
        <x:v>715</x:v>
      </x:c>
      <x:c r="G2" s="31" t="s">
        <x:v>589</x:v>
      </x:c>
      <x:c r="H2" s="31" t="s">
        <x:v>716</x:v>
      </x:c>
    </x:row>
    <x:row r="3" ht="35.04999923706055" hidden="0">
      <x:c r="A3" s="32" t="s">
        <x:v>717</x:v>
      </x:c>
      <x:c r="B3" s="32" t="s">
        <x:v>471</x:v>
      </x:c>
      <x:c r="C3" s="32" t="s">
        <x:v>718</x:v>
      </x:c>
      <x:c r="D3" s="32" t="s">
        <x:v>719</x:v>
      </x:c>
      <x:c r="E3" s="32" t="s">
        <x:v>720</x:v>
      </x:c>
      <x:c r="F3" s="32" t="s">
        <x:v>721</x:v>
      </x:c>
      <x:c r="G3" s="32" t="s">
        <x:v>722</x:v>
      </x:c>
      <x:c r="H3" s="32" t="s">
        <x:v>723</x:v>
      </x:c>
    </x:row>
    <x:row r="4" ht="23.850000381469727" hidden="0">
      <x:c r="A4" s="32" t="s">
        <x:v>724</x:v>
      </x:c>
      <x:c r="B4" s="32" t="s">
        <x:v>450</x:v>
      </x:c>
      <x:c r="C4" s="32" t="s">
        <x:v>725</x:v>
      </x:c>
      <x:c r="D4" s="32" t="s">
        <x:v>726</x:v>
      </x:c>
      <x:c r="E4" s="32" t="s">
        <x:v>727</x:v>
      </x:c>
      <x:c r="F4" s="32" t="s">
        <x:v>728</x:v>
      </x:c>
      <x:c r="G4" s="32" t="s">
        <x:v>722</x:v>
      </x:c>
      <x:c r="H4" s="32" t="s">
        <x:v>729</x:v>
      </x:c>
    </x:row>
    <x:row r="5" ht="23.850000381469727" hidden="0">
      <x:c r="A5" s="32" t="s">
        <x:v>730</x:v>
      </x:c>
      <x:c r="B5" s="32" t="s">
        <x:v>464</x:v>
      </x:c>
      <x:c r="C5" s="32" t="s">
        <x:v>731</x:v>
      </x:c>
      <x:c r="D5" s="32" t="s">
        <x:v>732</x:v>
      </x:c>
      <x:c r="E5" s="32" t="s">
        <x:v>733</x:v>
      </x:c>
      <x:c r="F5" s="32" t="s">
        <x:v>734</x:v>
      </x:c>
      <x:c r="G5" s="32" t="s">
        <x:v>735</x:v>
      </x:c>
      <x:c r="H5" s="32" t="s">
        <x:v>736</x:v>
      </x:c>
    </x:row>
    <x:row r="6" hidden="0">
      <x:c r="A6" s="32" t="s">
        <x:v>717</x:v>
      </x:c>
      <x:c r="B6" s="32" t="s">
        <x:v>471</x:v>
      </x:c>
      <x:c r="C6" s="32" t="s">
        <x:v>718</x:v>
      </x:c>
      <x:c r="D6" s="32" t="s">
        <x:v>737</x:v>
      </x:c>
      <x:c r="E6" s="32" t="s">
        <x:v>738</x:v>
      </x:c>
      <x:c r="F6" s="32" t="s">
        <x:v>739</x:v>
      </x:c>
      <x:c r="G6" s="32" t="s">
        <x:v>722</x:v>
      </x:c>
      <x:c r="H6" s="32" t="s">
        <x:v>740</x:v>
      </x:c>
    </x:row>
    <x:row r="7" hidden="0">
      <x:c r="A7" s="32" t="s">
        <x:v>717</x:v>
      </x:c>
      <x:c r="B7" s="32" t="s">
        <x:v>471</x:v>
      </x:c>
      <x:c r="C7" s="32" t="s">
        <x:v>741</x:v>
      </x:c>
      <x:c r="D7" s="32" t="s">
        <x:v>742</x:v>
      </x:c>
      <x:c r="E7" s="32" t="s">
        <x:v>743</x:v>
      </x:c>
      <x:c r="F7" s="32" t="s">
        <x:v>744</x:v>
      </x:c>
      <x:c r="G7" s="32" t="s">
        <x:v>722</x:v>
      </x:c>
      <x:c r="H7" s="32" t="s">
        <x:v>745</x:v>
      </x:c>
    </x:row>
    <x:row r="8" hidden="0">
      <x:c r="A8" s="32" t="s">
        <x:v>746</x:v>
      </x:c>
      <x:c r="B8" s="32" t="s">
        <x:v>471</x:v>
      </x:c>
      <x:c r="C8" s="32" t="s">
        <x:v>747</x:v>
      </x:c>
      <x:c r="D8" s="32" t="s">
        <x:v>748</x:v>
      </x:c>
      <x:c r="E8" s="32" t="s">
        <x:v>749</x:v>
      </x:c>
      <x:c r="F8" s="32" t="s">
        <x:v>750</x:v>
      </x:c>
      <x:c r="G8" s="32" t="s">
        <x:v>722</x:v>
      </x:c>
      <x:c r="H8" s="32" t="s">
        <x:v>751</x:v>
      </x:c>
    </x:row>
    <x:row r="9" ht="107.0999984741211" hidden="0">
      <x:c r="A9" s="32" t="inlineStr">
        <x:is>
          <x:t xml:space="preserve">15 September 2026</x:t>
        </x:is>
      </x:c>
      <x:c r="B9" s="32" t="inlineStr">
        <x:is>
          <x:t xml:space="preserve">Jean Smit</x:t>
        </x:is>
      </x:c>
      <x:c r="C9" s="32" t="inlineStr">
        <x:is>
          <x:t xml:space="preserve">Claude (Anthropic), Claude Code</x:t>
        </x:is>
      </x:c>
      <x:c r="D9" s="32" t="inlineStr">
        <x:is>
          <x:t xml:space="preserve">A2 Task 1: design problems and pattern comparison</x:t>
        </x:is>
      </x:c>
      <x:c r="E9" s="32" t="inlineStr">
        <x:is>
          <x:t xml:space="preserve">Drafted the problem framing from the requirements register, the comparison of candidate approaches, and the recommendations</x:t>
        </x:is>
      </x:c>
      <x:c r="F9" s="32" t="inlineStr">
        <x:is>
          <x:t xml:space="preserve">Citations reconciled against the reference list in both directions; web sources fetched and checked against the claims attributed to them; claims cited to Martin, Meyer, Evans and Fowler checked against the authors' own published articles and catalogue pages; book and journal details checked against publisher and Crossref records; Parnas (1972) checked against the published paper; Gamma et al. (1994) checked for publication details only, because no copy of the text was available</x:t>
        </x:is>
      </x:c>
      <x:c r="G9" s="32" t="inlineStr">
        <x:is>
          <x:t xml:space="preserve">Accepted after revision</x:t>
        </x:is>
      </x:c>
      <x:c r="H9" s="32" t="inlineStr">
        <x:is>
          <x:t xml:space="preserve">An attribution to the OWASP Authorization Cheat Sheet was corrected before inclusion. The sheet recommends centralising the handling of failed checks, which is a different claim from centralising the authorisation decision. Book years were cited under two different rules; they were standardised to the publication date, which changed Martin from 2003 to 2002. The paraphrase of Parnas (1972) went beyond the paper and was tightened to match its wording.</x:t>
        </x:is>
      </x:c>
    </x:row>
    <x:row r="10" ht="59.5" hidden="0">
      <x:c r="A10" s="32" t="inlineStr">
        <x:is>
          <x:t xml:space="preserve">15 September 2026</x:t>
        </x:is>
      </x:c>
      <x:c r="B10" s="32" t="inlineStr">
        <x:is>
          <x:t xml:space="preserve">Jean Smit</x:t>
        </x:is>
      </x:c>
      <x:c r="C10" s="32" t="inlineStr">
        <x:is>
          <x:t xml:space="preserve">Claude (Anthropic), Claude Code</x:t>
        </x:is>
      </x:c>
      <x:c r="D10" s="32" t="inlineStr">
        <x:is>
          <x:t xml:space="preserve">A2 Task 4, sections 4.1 and 4.3: configuration management and collaborative integration</x:t>
        </x:is>
      </x:c>
      <x:c r="E10" s="32" t="inlineStr">
        <x:is>
          <x:t xml:space="preserve">Drafted the configuration management research, gathered repository evidence, compared controls for binary artefacts, and drafted the recommendations</x:t>
        </x:is>
      </x:c>
      <x:c r="F10" s="32" t="inlineStr">
        <x:is>
          <x:t xml:space="preserve">Repository statistics measured directly from GitHub and git; web sources fetched and checked against the claims attributed to them; citations reconciled in both directions; Bacchelli and Bird (2013) checked against the paper; cited Master Project Brief sections read directly</x:t>
        </x:is>
      </x:c>
      <x:c r="G10" s="32" t="inlineStr">
        <x:is>
          <x:t xml:space="preserve">Accepted after revision</x:t>
        </x:is>
      </x:c>
      <x:c r="H10" s="32" t="inlineStr">
        <x:is>
          <x:t xml:space="preserve">A paraphrase of Bacchelli and Bird (2013) overstated the paper and was corrected to match its abstract. A claim that PED s12.4 governs format changes was corrected, because s12.4 covers only scope, requirements and the status model.</x:t>
        </x:is>
      </x:c>
    </x:row>
    <x:row r="11" ht="59.5" hidden="0">
      <x:c r="A11" s="32" t="inlineStr">
        <x:is>
          <x:t xml:space="preserve">15 September 2026</x:t>
        </x:is>
      </x:c>
      <x:c r="B11" s="32" t="inlineStr">
        <x:is>
          <x:t xml:space="preserve">Jean Smit</x:t>
        </x:is>
      </x:c>
      <x:c r="C11" s="32" t="inlineStr">
        <x:is>
          <x:t xml:space="preserve">Claude (Anthropic), Claude Code</x:t>
        </x:is>
      </x:c>
      <x:c r="D11" s="32" t="inlineStr">
        <x:is>
          <x:t xml:space="preserve">A2 Task 5 research-to-decision map and report assembly</x:t>
        </x:is>
      </x:c>
      <x:c r="E11" s="32" t="inlineStr">
        <x:is>
          <x:t xml:space="preserve">Drafted the Task 5 rows from each section's findings, merged the sections into one report, consolidated the references and built the Word document</x:t>
        </x:is>
      </x:c>
      <x:c r="F11" s="32" t="inlineStr">
        <x:is>
          <x:t xml:space="preserve">Each map row checked against the section it summarises; every decision and requirement identifier checked against the M1 registers workbook; the merged report's citations reconciled against the consolidated reference list in both directions; the built document rendered to PDF and checked page by page</x:t>
        </x:is>
      </x:c>
      <x:c r="G11" s="32" t="inlineStr">
        <x:is>
          <x:t xml:space="preserve">Accepted after revision</x:t>
        </x:is>
      </x:c>
      <x:c r="H11" s="32" t="inlineStr">
        <x:is>
          <x:t xml:space="preserve">Two OWASP cheat sheets in different sections were both cited as undated OWASP sources with no letter to tell them apart, and the Master Project Brief was lettered 2026a with no 2026b; both were corrected when the reference lists were merged.</x:t>
        </x:is>
      </x:c>
    </x:row>
    <x:row r="12" ht="142.8000030517578" hidden="0">
      <x:c r="A12" s="32" t="inlineStr">
        <x:is>
          <x:t xml:space="preserve">15 September 2026</x:t>
        </x:is>
      </x:c>
      <x:c r="B12" s="32" t="inlineStr">
        <x:is>
          <x:t xml:space="preserve">Jean Smit</x:t>
        </x:is>
      </x:c>
      <x:c r="C12" s="32" t="inlineStr">
        <x:is>
          <x:t xml:space="preserve">Claude (Anthropic), Claude Code</x:t>
        </x:is>
      </x:c>
      <x:c r="D12" s="32" t="inlineStr">
        <x:is>
          <x:t xml:space="preserve">A2 review and typesetting of Task 4, section 4.2 (Darius Mushi)</x:t>
        </x:is>
      </x:c>
      <x:c r="E12" s="32" t="inlineStr">
        <x:is>
          <x:t xml:space="preserve">Checked the section against every cited source, register entry, pull request and commit it relies on; typeset it; corrected citations and register references; removed two paragraphs outside the section's topic; made light wording edits</x:t>
        </x:is>
      </x:c>
      <x:c r="F12" s="32" t="inlineStr">
        <x:is>
          <x:t xml:space="preserve">Every cited page fetched and each attributed claim searched for in it; the arXiv authors and version checked on arXiv; the PR #18 and PR #25 claims checked against the review records and commit history; every identifier checked against the M1 registers workbook; Master Project Brief s9 read directly; citations reconciled in both directions; a change list prepared for the author</x:t>
        </x:is>
      </x:c>
      <x:c r="G12" s="32" t="inlineStr">
        <x:is>
          <x:t xml:space="preserve">Accepted after revision; every change is listed for the author</x:t>
        </x:is>
      </x:c>
      <x:c r="H12" s="32" t="inlineStr">
        <x:is>
          <x:t xml:space="preserve">The arXiv paper was attributed to Wang et al. and is by Yang et al.; its 16% and 1% figures come from earlier studies and became secondary citations. A recommendation to scan every push was attributed to the OWASP cheat sheet and comes from CICD-SEC-6, which was dated 2025 and whose link no longer resolved; it is now dated 2022 and linked to OWASP's own copy. References to DEC-008 and RSK-08 did not match the register and were corrected. One paragraph contained what reads as pasted assistant output; it and the paragraph before it were outside the section's topic and were removed.</x:t>
        </x:is>
      </x:c>
    </x:row>
    <x:row r="13" ht="95.19999694824219" hidden="0">
      <x:c r="A13" s="32" t="inlineStr">
        <x:is>
          <x:t xml:space="preserve">15 September 2026</x:t>
        </x:is>
      </x:c>
      <x:c r="B13" s="32" t="inlineStr">
        <x:is>
          <x:t xml:space="preserve">Tristan Roets</x:t>
        </x:is>
      </x:c>
      <x:c r="C13" s="32" t="inlineStr">
        <x:is>
          <x:t xml:space="preserve">ChatGPT (OpenAI, GPT-5.6 Sol)</x:t>
        </x:is>
      </x:c>
      <x:c r="D13" s="32" t="inlineStr">
        <x:is>
          <x:t xml:space="preserve">Researching and drafting Assignment 2 Task 2 and Task 3.</x:t>
        </x:is>
      </x:c>
      <x:c r="E13" s="32" t="inlineStr">
        <x:is>
          <x:t xml:space="preserve">Assisted with structuring the sections, comparing alternatives, drafting, and identifying authoritative sources.</x:t>
        </x:is>
      </x:c>
      <x:c r="F13" s="32" t="inlineStr">
        <x:is>
          <x:t xml:space="preserve">PostgreSQL claims were checked against PostgreSQL documentation; REST/HTTP claims against Microsoft Learn and MDN; messaging claims against Microsoft Azure Architecture Center; CivicConnect-specific identifiers against the team's A2 notes and M1 evidence.</x:t>
        </x:is>
      </x:c>
      <x:c r="G13" s="32" t="inlineStr">
        <x:is>
          <x:t xml:space="preserve">Accepted after revision</x:t>
        </x:is>
      </x:c>
      <x:c r="H13" s="32" t="inlineStr">
        <x:is>
          <x:t xml:space="preserve">The first draft linked NFR-002 to possible duplicate resubmission without addressing duplicate prevention, so that sentence was removed. The REST section initially omitted explicit resource and error handling discussion, so this was added from the Microsoft API-design source. DEC-009 was also added to the Task 3 recommendation because the in-process versus separate-service choice affects architecture.</x:t>
        </x:is>
      </x:c>
    </x:row>
    <x:row r="14" ht="119" hidden="0">
      <x:c r="A14" s="32" t="inlineStr">
        <x:is>
          <x:t xml:space="preserve">15 September 2026</x:t>
        </x:is>
      </x:c>
      <x:c r="B14" s="32" t="inlineStr">
        <x:is>
          <x:t xml:space="preserve">Darius Mushi</x:t>
        </x:is>
      </x:c>
      <x:c r="C14" s="32" t="inlineStr">
        <x:is>
          <x:t xml:space="preserve">Claude 3.5 (Anthropic)</x:t>
        </x:is>
      </x:c>
      <x:c r="D14" s="32" t="inlineStr">
        <x:is>
          <x:t xml:space="preserve">Drafting Section 4.2 infrastructure text concerning automated code quality controls, code style linters, and verification warning gates.</x:t>
        </x:is>
      </x:c>
      <x:c r="E14" s="32" t="inlineStr">
        <x:is>
          <x:t xml:space="preserve">Provided layout structures for integrating code syntax checkers into development pipelines and proposed text outlining validation tracking strategies.</x:t>
        </x:is>
      </x:c>
      <x:c r="F14" s="32" t="inlineStr">
        <x:is>
          <x:t xml:space="preserve">Cross-checked the generated recommendations against the local assignment criteria to ensure linting profiles were configured to issue non-blocking alerts (warnings) during early implementation blocks rather than completely failing pipeline compilation passes.</x:t>
        </x:is>
      </x:c>
      <x:c r="G14" s="32" t="inlineStr">
        <x:is>
          <x:t xml:space="preserve">Adopted the non-blocking "warn-only" style validation constraint for initial pushes to minimize early setup friction, while explicitly deferring hard gate failures for later implementation.</x:t>
        </x:is>
      </x:c>
      <x:c r="H14" s="32" t="inlineStr">
        <x:is>
          <x:t xml:space="preserve">The initial automated text contained tracking errors that were caught and corrected during team review typesetting: the referenced arXiv preprint was mistakenly misattributed as Wang et al. instead of Yang et al. (2026); an unrelated cicd-sec-6 security reference point was incorrectly appended onto the OWASP CI/CD Security Cheat Sheet reference; and the review pass successfully removed two off-topic paragraphs, including one featuring an unedited, conversational AI-generated output layout structure.</x:t>
        </x:is>
      </x:c>
    </x:row>
    <x:row r="15" ht="71.4000015258789" hidden="0">
      <x:c r="A15" s="32" t="inlineStr">
        <x:is>
          <x:t xml:space="preserve">21 September 2026</x:t>
        </x:is>
      </x:c>
      <x:c r="B15" s="32" t="inlineStr">
        <x:is>
          <x:t xml:space="preserve">Jean Smit</x:t>
        </x:is>
      </x:c>
      <x:c r="C15" s="32" t="inlineStr">
        <x:is>
          <x:t xml:space="preserve">Claude (Anthropic), through Claude Code</x:t>
        </x:is>
      </x:c>
      <x:c r="D15" s="32" t="inlineStr">
        <x:is>
          <x:t xml:space="preserve">A3 Question 2: structuring the research, drafting the threat chains and the traceability table, and finding sources</x:t>
        </x:is>
      </x:c>
      <x:c r="E15" s="32" t="inlineStr">
        <x:is>
          <x:t xml:space="preserve">Structured the research, drafted the threat chains and the traceability table, and found sources</x:t>
        </x:is>
      </x:c>
      <x:c r="F15" s="32" t="inlineStr">
        <x:is>
          <x:t xml:space="preserve">Every cited page opened and each attributed claim found in it; the figures from Pearce et al. (2022) and Perry et al. (2023) read in the papers themselves; every reference link returned its page on 21 September 2026; citations reconciled with the reference list in both directions</x:t>
        </x:is>
      </x:c>
      <x:c r="G15" s="32" t="inlineStr">
        <x:is>
          <x:t xml:space="preserve">Accepted after revision</x:t>
        </x:is>
      </x:c>
      <x:c r="H15" s="32" t="inlineStr">
        <x:is>
          <x:t xml:space="preserve">Two studies cited through Yang et al. (2026) were split across a semicolon and read as uncited sources, so the citation was rewritten to show that both are cited through Yang. The Microsoft threat modelling page is cited as 2017, the date the page states.</x:t>
        </x:is>
      </x:c>
    </x:row>
    <x:row r="16" ht="154.6999969482422" hidden="0">
      <x:c r="A16" s="32" t="inlineStr">
        <x:is>
          <x:t xml:space="preserve">21 September 2026</x:t>
        </x:is>
      </x:c>
      <x:c r="B16" s="32" t="inlineStr">
        <x:is>
          <x:t xml:space="preserve">Jean Smit</x:t>
        </x:is>
      </x:c>
      <x:c r="C16" s="32" t="inlineStr">
        <x:is>
          <x:t xml:space="preserve">Claude (Anthropic), through Claude Code</x:t>
        </x:is>
      </x:c>
      <x:c r="D16" s="32" t="inlineStr">
        <x:is>
          <x:t xml:space="preserve">A3 Question 4 and assembly (21, 22 and 28 September 2026)</x:t>
        </x:is>
      </x:c>
      <x:c r="E16" s="32" t="inlineStr">
        <x:is>
          <x:t xml:space="preserve">Drafted the map from Questions 1 to 3 and the registers, checked the sources of Questions 1 and 3, merged the sections, consolidated the references and built the document</x:t>
        </x:is>
      </x:c>
      <x:c r="F16" s="32" t="inlineStr">
        <x:is>
          <x:t xml:space="preserve">Every source cited in Questions 1 and 3 opened on 28 September 2026 and its date checked against the page; the Dijkstra (1972) point in Question 1 checked against the published text of the lecture; each map row checked against the question it summarises; every project identifier checked against the M1 registers workbook; citations reconciled in both directions across the document; the built document rendered and checked page by page</x:t>
        </x:is>
      </x:c>
      <x:c r="G16" s="32" t="inlineStr">
        <x:is>
          <x:t xml:space="preserve">Accepted after revision</x:t>
        </x:is>
      </x:c>
      <x:c r="H16" s="32" t="inlineStr">
        <x:is>
          <x:t xml:space="preserve">The ISTQB link in Question 1 opened no entry, and the sentence citing it attributed more to the definition than it states, so the link was corrected and the citation narrowed to the definition. The NIST DOI in Question 3 did not resolve and was corrected. One Microsoft page is dated 2025 on the page itself, so the Microsoft letters were reassigned. The OWASP Secrets Management Cheat Sheet was cited under two names and dates and now has one entry. The claims Question 1 attributes to ISO/IEC/IEEE 29119-1 could not be checked against the standard, which is not freely available, and stand as the author stated them.</x:t>
        </x:is>
      </x:c>
    </x:row>
    <x:row r="17" ht="71.4000015258789" hidden="0">
      <x:c r="A17" s="32" t="inlineStr">
        <x:is>
          <x:t xml:space="preserve">23 September 2026</x:t>
        </x:is>
      </x:c>
      <x:c r="B17" s="32" t="inlineStr">
        <x:is>
          <x:t xml:space="preserve">Jean Smit</x:t>
        </x:is>
      </x:c>
      <x:c r="C17" s="32" t="inlineStr">
        <x:is>
          <x:t xml:space="preserve">Claude Code (Anthropic)</x:t>
        </x:is>
      </x:c>
      <x:c r="D17" s="32" t="inlineStr">
        <x:is>
          <x:t xml:space="preserve">Finalising ADR-002 (DEC-008) from Darius Mushi's three drafts, at his request, and amending it after review on #91 (28 September 2026)</x:t>
        </x:is>
      </x:c>
      <x:c r="E17" s="32" t="inlineStr">
        <x:is>
          <x:t xml:space="preserve">Fact-checked the drafts against the registers and #56, checked each version, release date and licence, and drafted the finalised record and its amendments</x:t>
        </x:is>
      </x:c>
      <x:c r="F17" s="32" t="inlineStr">
        <x:is>
          <x:t xml:space="preserve">Versions, release dates and licences checked against the npm registry and PyPI on 23 September 2026; the Node.js release schedule and Prisma issue #30295 read directly; each member's account of their experience confirmed with them before it was recorded; the record reviewed by Darius Mushi on #91</x:t>
        </x:is>
      </x:c>
      <x:c r="G17" s="32" t="inlineStr">
        <x:is>
          <x:t xml:space="preserve">Accepted after revision</x:t>
        </x:is>
      </x:c>
      <x:c r="H17" s="32" t="inlineStr">
        <x:is>
          <x:t xml:space="preserve">The author's own Node.js experience was first recorded as tooling only, from an earlier note, and was corrected once confirmed as backend Node and Express. The first pull request description credited findings from the author's review to Darius Mushi; his review on #91 caught it and it was corrected.</x:t>
        </x:is>
      </x:c>
    </x:row>
    <x:row r="18" ht="71.4000015258789" hidden="0">
      <x:c r="A18" s="32" t="inlineStr">
        <x:is>
          <x:t xml:space="preserve">23 September 2026</x:t>
        </x:is>
      </x:c>
      <x:c r="B18" s="32" t="inlineStr">
        <x:is>
          <x:t xml:space="preserve">Jean Smit</x:t>
        </x:is>
      </x:c>
      <x:c r="C18" s="32" t="inlineStr">
        <x:is>
          <x:t xml:space="preserve">Claude Code (Anthropic)</x:t>
        </x:is>
      </x:c>
      <x:c r="D18" s="32" t="inlineStr">
        <x:is>
          <x:t xml:space="preserve">Moving the PED source to markdown with a Word build in the v1.0 house style (#55, CR-001)</x:t>
        </x:is>
      </x:c>
      <x:c r="E18" s="32" t="inlineStr">
        <x:is>
          <x:t xml:space="preserve">Wrote the conversion, the fidelity check and the build scripts, and the README</x:t>
        </x:is>
      </x:c>
      <x:c r="F18" s="32" t="inlineStr">
        <x:is>
          <x:t xml:space="preserve">The fidelity check converted the markdown back to Word and compared it with v1.0: 1504 blocks, no differences, 18,169 identical words. v1.0 was rebuilt from the markdown and its 48 content pages compared with v1.0 as rendered PDF pages</x:t>
        </x:is>
      </x:c>
      <x:c r="G18" s="32" t="inlineStr">
        <x:is>
          <x:t xml:space="preserve">Accepted after revision</x:t>
        </x:is>
      </x:c>
      <x:c r="H18" s="32" t="inlineStr">
        <x:is>
          <x:t xml:space="preserve">Page comparison found build defects that were fixed before the pull request: numbered paragraphs losing their numbering, new tables wider than the page, lost bold in headings and table headers, redundant page breaks that produced blank pages, landscape margins, and Word compatibility mode.</x:t>
        </x:is>
      </x:c>
    </x:row>
    <x:row r="19" ht="59.5" hidden="0">
      <x:c r="A19" s="32" t="inlineStr">
        <x:is>
          <x:t xml:space="preserve">28 September 2026</x:t>
        </x:is>
      </x:c>
      <x:c r="B19" s="32" t="inlineStr">
        <x:is>
          <x:t xml:space="preserve">Jean Smit</x:t>
        </x:is>
      </x:c>
      <x:c r="C19" s="32" t="inlineStr">
        <x:is>
          <x:t xml:space="preserve">Claude Code (Anthropic)</x:t>
        </x:is>
      </x:c>
      <x:c r="D19" s="32" t="inlineStr">
        <x:is>
          <x:t xml:space="preserve">Design decisions 1 and 2: ADR-005 and ADR-006 with their code and tests (#61, #62, #93, #94)</x:t>
        </x:is>
      </x:c>
      <x:c r="E19" s="32" t="inlineStr">
        <x:is>
          <x:t xml:space="preserve">Drafted both records from A2 Task 1, wrote the transition table, the policy module and their tests, and exported the fixtures from the registers</x:t>
        </x:is>
      </x:c>
      <x:c r="F19" s="32" t="inlineStr">
        <x:is>
          <x:t xml:space="preserve">Tests generated from fixtures exported from the Status Model and Access Matrix sheets; deliberate faults introduced one at a time, three in the table and four in the policy, each failed the suite; both reviewed and approved by Darius Mushi and Tristan Roets</x:t>
        </x:is>
      </x:c>
      <x:c r="G19" s="32" t="inlineStr">
        <x:is>
          <x:t xml:space="preserve">Accepted after revision</x:t>
        </x:is>
      </x:c>
      <x:c r="H19" s="32" t="inlineStr">
        <x:is>
          <x:t xml:space="preserve">The tests exposed four Access Matrix cells that grant what FR-015, FR-016, FR-020 and FR-021 refuse, raised as #92 and CR-002. A risk cited as RSK-11 was RSK-05, and a Decision Log number claimed before it was assigned was removed.</x:t>
        </x:is>
      </x:c>
    </x:row>
    <x:row r="20" ht="47.599998474121094" hidden="0">
      <x:c r="A20" s="32" t="inlineStr">
        <x:is>
          <x:t xml:space="preserve">28 September 2026</x:t>
        </x:is>
      </x:c>
      <x:c r="B20" s="32" t="inlineStr">
        <x:is>
          <x:t xml:space="preserve">Jean Smit</x:t>
        </x:is>
      </x:c>
      <x:c r="C20" s="32" t="inlineStr">
        <x:is>
          <x:t xml:space="preserve">Claude Code (Anthropic)</x:t>
        </x:is>
      </x:c>
      <x:c r="D20" s="32" t="inlineStr">
        <x:is>
          <x:t xml:space="preserve">PED v2.0, sections 18 to 26 (#95)</x:t>
        </x:is>
      </x:c>
      <x:c r="E20" s="32" t="inlineStr">
        <x:is>
          <x:t xml:space="preserve">Drafted the M2 sections from the ADRs and pull requests, and the reading notes in the M1 sections</x:t>
        </x:is>
      </x:c>
      <x:c r="F20" s="32" t="inlineStr">
        <x:is>
          <x:t xml:space="preserve">Each section checked against its ADR; the M1 sections compared with v1.0 so that only the changes recorded in the v2.0 row differ; the built document rendered and checked; reviewed by Darius Mushi on #95</x:t>
        </x:is>
      </x:c>
      <x:c r="G20" s="32" t="inlineStr">
        <x:is>
          <x:t xml:space="preserve">Accepted after revision</x:t>
        </x:is>
      </x:c>
      <x:c r="H20" s="32" t="inlineStr">
        <x:is>
          <x:t xml:space="preserve">Darius Mushi's review found the cover contradicting s16 on the M1 sign-off, s8.3 conflicting with s22.2, a miscount in s19 and uncited facts in s20. All were corrected on 29 September 2026.</x:t>
        </x:is>
      </x:c>
    </x:row>
    <x:row r="21" ht="47.599998474121094" hidden="0">
      <x:c r="A21" s="32" t="inlineStr">
        <x:is>
          <x:t xml:space="preserve">28 September 2026</x:t>
        </x:is>
      </x:c>
      <x:c r="B21" s="32" t="inlineStr">
        <x:is>
          <x:t xml:space="preserve">Jean Smit</x:t>
        </x:is>
      </x:c>
      <x:c r="C21" s="32" t="inlineStr">
        <x:is>
          <x:t xml:space="preserve">Claude Code (Anthropic)</x:t>
        </x:is>
      </x:c>
      <x:c r="D21" s="32" t="inlineStr">
        <x:is>
          <x:t xml:space="preserve">Reviewing pull requests #88, #89, #90, #97, #98 and #99 (28 and 29 September 2026)</x:t>
        </x:is>
      </x:c>
      <x:c r="E21" s="32" t="inlineStr">
        <x:is>
          <x:t xml:space="preserve">Checked each pull request against the requirements, ADRs and cited sources, ran the bootstrap, and drafted the review text</x:t>
        </x:is>
      </x:c>
      <x:c r="F21" s="32" t="inlineStr">
        <x:is>
          <x:t xml:space="preserve">The bootstrap installed from clean and run on Node 24.14.0: npm test, the health endpoint and npm audit; each cited source opened; requirement claims checked against the workbook</x:t>
        </x:is>
      </x:c>
      <x:c r="G21" s="32" t="inlineStr">
        <x:is>
          <x:t xml:space="preserve">Accepted after revision</x:t>
        </x:is>
      </x:c>
      <x:c r="H21" s="32" t="inlineStr">
        <x:is>
          <x:t xml:space="preserve">A claim that the undeclared dotenv package would crash a production install was tested with npm ci --omit=dev, found wrong, and narrowed before the review was posted.</x:t>
        </x:is>
      </x:c>
    </x:row>
    <x:row r="22" ht="142.8000030517578" hidden="0">
      <x:c r="A22" s="32" t="inlineStr">
        <x:is>
          <x:t xml:space="preserve">28 September 2026</x:t>
        </x:is>
      </x:c>
      <x:c r="B22" s="32" t="inlineStr">
        <x:is>
          <x:t xml:space="preserve">Tristan Roets</x:t>
        </x:is>
      </x:c>
      <x:c r="C22" s="32" t="inlineStr">
        <x:is>
          <x:t xml:space="preserve">ChatGPT (OpenAI, GPT-5.6 Sol)</x:t>
        </x:is>
      </x:c>
      <x:c r="D22" s="32" t="inlineStr">
        <x:is>
          <x:t xml:space="preserve">DEC-011 / #58: data and persistence design</x:t>
        </x:is>
      </x:c>
      <x:c r="E22" s="32" t="inlineStr">
        <x:is>
          <x:t xml:space="preserve">Used as a review and drafting aid while I developed the data and persistence decision. It helped me organise parts of the ADR and check that I had covered the required areas.</x:t>
        </x:is>
      </x:c>
      <x:c r="F22" s="32" t="inlineStr">
        <x:is>
          <x:t xml:space="preserve">I checked the final design against FR-005 to FR-009, FR-011, FR-012, FR-017, FR-018, FR-020, FR-021, FR-025, FR-026, ADR-001, ADR-005 and ADR-006, including requester/category scope, ActionEntry visibility, status history and structured audit requirements.</x:t>
        </x:is>
      </x:c>
      <x:c r="G22" s="32" t="inlineStr">
        <x:is>
          <x:t xml:space="preserve">I selected and documented the final PostgreSQL relational model, Prisma as the authoritative application schema, request reference approach, transaction boundaries and integrity controls. AI suggestions were only used where they agreed with the project evidence.</x:t>
        </x:is>
      </x:c>
      <x:c r="H22" s="32" t="inlineStr">
        <x:is>
          <x:t xml:space="preserve">PR review found that the first draft did not fully separate RequestStatusHistory, ActionEntry and AuditEntry responsibilities; it was missing some required Request fields and clearer transaction semantics; and it was ambiguous about the authoritative Prisma versus SQL schema. I corrected those points in ADR-007 and aligned the initial SQL/schema wording before review continued.</x:t>
        </x:is>
      </x:c>
    </x:row>
    <x:row r="23" ht="119" hidden="0">
      <x:c r="A23" s="32" t="inlineStr">
        <x:is>
          <x:t xml:space="preserve">28 September 2026</x:t>
        </x:is>
      </x:c>
      <x:c r="B23" s="32" t="inlineStr">
        <x:is>
          <x:t xml:space="preserve">Tristan Roets</x:t>
        </x:is>
      </x:c>
      <x:c r="C23" s="32" t="inlineStr">
        <x:is>
          <x:t xml:space="preserve">ChatGPT (OpenAI, GPT-5.6 Sol)</x:t>
        </x:is>
      </x:c>
      <x:c r="D23" s="32" t="inlineStr">
        <x:is>
          <x:t xml:space="preserve">#63: request status notification interface</x:t>
        </x:is>
      </x:c>
      <x:c r="E23" s="32" t="inlineStr">
        <x:is>
          <x:t xml:space="preserve">Used to help review and organise my notification-interface ADR and check that the main interface concerns were covered.</x:t>
        </x:is>
      </x:c>
      <x:c r="F23" s="32" t="inlineStr">
        <x:is>
          <x:t xml:space="preserve">I checked the final interface against FR-017, FR-029, DEC-005, SC-D-01, FEC-03, ADR-001, ADR-005, ADR-006 and ADR-007.</x:t>
        </x:is>
      </x:c>
      <x:c r="G23" s="32" t="inlineStr">
        <x:is>
          <x:t xml:space="preserve">I retained the in-process M2 notification interface, derived requester indications from persisted RequestStatusHistory and requester-visible ActionEntry evidence, and kept email/SMS and asynchronous external delivery deferred.</x:t>
        </x:is>
      </x:c>
      <x:c r="H23" s="32" t="inlineStr">
        <x:is>
          <x:t xml:space="preserve">PR review found that the original version did not map all four FR-029 events precisely enough, mixed visibility into the wrong contract, had unclear next-sign-in persistence/failure behaviour and used outdated persistence references. I corrected the event mapping, limited visibility to requester-visible ActionEntries, based indications on persisted evidence, and updated the ADR references.</x:t>
        </x:is>
      </x:c>
    </x:row>
    <x:row r="24" ht="71.4000015258789" hidden="0">
      <x:c r="A24" s="32" t="inlineStr">
        <x:is>
          <x:t xml:space="preserve">28 September 2026</x:t>
        </x:is>
      </x:c>
      <x:c r="B24" s="32" t="inlineStr">
        <x:is>
          <x:t xml:space="preserve">Tristan Roets</x:t>
        </x:is>
      </x:c>
      <x:c r="C24" s="32" t="inlineStr">
        <x:is>
          <x:t xml:space="preserve">ChatGPT (OpenAI, GPT-5.6 Sol)</x:t>
        </x:is>
      </x:c>
      <x:c r="D24" s="32" t="inlineStr">
        <x:is>
          <x:t xml:space="preserve">#95/#99: PED v2.0 sections 21 and 23</x:t>
        </x:is>
      </x:c>
      <x:c r="E24" s="32" t="inlineStr">
        <x:is>
          <x:t xml:space="preserve">Used as a writing and checking aid while I converted my #58 and #63 work into shorter PED sections and followed the required Markdown format.</x:t>
        </x:is>
      </x:c>
      <x:c r="F24" s="32" t="inlineStr">
        <x:is>
          <x:t xml:space="preserve">I compared s21 with ADR-007 and s23 with ADR-008 to make sure the PED accurately summarised the underlying decisions without adding new ones.</x:t>
        </x:is>
      </x:c>
      <x:c r="G24" s="32" t="inlineStr">
        <x:is>
          <x:t xml:space="preserve">I wrote the final PED contribution and submitted it in #99.</x:t>
        </x:is>
      </x:c>
      <x:c r="H24" s="32" t="inlineStr">
        <x:is>
          <x:t xml:space="preserve">Review identified that visibility had initially been described on the wrong entity, ADR references needed to be explicit, unsupported notification wording had to be removed and the section boundary before s24 needed correcting. I updated #99 accordingly.</x:t>
        </x:is>
      </x:c>
    </x:row>
    <x:row r="25" ht="83.30000305175781" hidden="0">
      <x:c r="A25" s="32" t="inlineStr">
        <x:is>
          <x:t xml:space="preserve">29 September 2026</x:t>
        </x:is>
      </x:c>
      <x:c r="B25" s="32" t="inlineStr">
        <x:is>
          <x:t xml:space="preserve">Tristan Roets</x:t>
        </x:is>
      </x:c>
      <x:c r="C25" s="32" t="inlineStr">
        <x:is>
          <x:t xml:space="preserve">ChatGPT (OpenAI, GPT-5.6 Sol)</x:t>
        </x:is>
      </x:c>
      <x:c r="D25" s="32" t="inlineStr">
        <x:is>
          <x:t xml:space="preserve">#68: M2 risk, assumption and FEC review</x:t>
        </x:is>
      </x:c>
      <x:c r="E25" s="32" t="inlineStr">
        <x:is>
          <x:t xml:space="preserve">Used to help organise my review of which register entries were affected by the M2 work and to cross-check related issue and ADR references.</x:t>
        </x:is>
      </x:c>
      <x:c r="F25" s="32" t="inlineStr">
        <x:is>
          <x:t xml:space="preserve">I checked the proposed updates against the actual Risk Register descriptions, the relevant M2 ADR Risks created sections and current repository evidence, including the Prisma dependency finding.</x:t>
        </x:is>
      </x:c>
      <x:c r="G25" s="32" t="inlineStr">
        <x:is>
          <x:t xml:space="preserve">I determined which existing risks/FECs needed updated ratings or status and supplied Jean with the new ADR-created risk rows for the combined registers PR.</x:t>
        </x:is>
      </x:c>
      <x:c r="H25" s="32" t="inlineStr">
        <x:is>
          <x:t xml:space="preserve">My first pass linked several IDs to the wrong concerns. After checking the register, I corrected RSK-05, RSK-10, RSK-13 and FEC-07, kept FEC-01 only partly answered, rescored RSK-12 as materialised-active, and added the new ADR-created risks.</x:t>
        </x:is>
      </x:c>
    </x:row>
    <x:row r="26" ht="95.19999694824219" hidden="0">
      <x:c r="A26" s="32" t="inlineStr">
        <x:is>
          <x:t xml:space="preserve">21 September 2026</x:t>
        </x:is>
      </x:c>
      <x:c r="B26" s="32" t="inlineStr">
        <x:is>
          <x:t xml:space="preserve">Tristan Roets</x:t>
        </x:is>
      </x:c>
      <x:c r="C26" s="32" t="inlineStr">
        <x:is>
          <x:t xml:space="preserve">ChatGPT (OpenAI, GPT-5.6 Sol)</x:t>
        </x:is>
      </x:c>
      <x:c r="D26" s="32" t="inlineStr">
        <x:is>
          <x:t xml:space="preserve">Assignment 3 Question 3 / #76/#89: production readiness research (21 to 29 September 2026)</x:t>
        </x:is>
      </x:c>
      <x:c r="E26" s="32" t="inlineStr">
        <x:is>
          <x:t xml:space="preserve">Used as a research and writing aid to help organise my research, identify possible sources and review wording.</x:t>
        </x:is>
      </x:c>
      <x:c r="F26" s="32" t="inlineStr">
        <x:is>
          <x:t xml:space="preserve">I checked the technical claims against the sources used in my research, including Twelve-Factor, OWASP, GitHub Docs, Microsoft Learn, Google SRE and NIST.</x:t>
        </x:is>
      </x:c>
      <x:c r="G26" s="32" t="inlineStr">
        <x:is>
          <x:t xml:space="preserve">I selected the final content and sources and kept the research separate from actual CivicConnect M3 implementation decisions.</x:t>
        </x:is>
      </x:c>
      <x:c r="H26" s="32" t="inlineStr">
        <x:is>
          <x:t xml:space="preserve">PR review found an incorrect nested file location, the NIST DOI was wrong, several reference names/dates and in-text citations did not match A3_CHANGES.md, the evidence matrix/AI record needed GitHub Markdown pipe-table formatting, and stale working-draft wording needed removal. I corrected those items on #89; the PR is still awaiting final review/merge.</x:t>
        </x:is>
      </x:c>
    </x:row>
    <x:row r="27" ht="59.5" hidden="0">
      <x:c r="A27" s="32" t="inlineStr">
        <x:is>
          <x:t xml:space="preserve">29 September 2026</x:t>
        </x:is>
      </x:c>
      <x:c r="B27" s="32" t="inlineStr">
        <x:is>
          <x:t xml:space="preserve">Darius Mushi</x:t>
        </x:is>
      </x:c>
      <x:c r="C27" s="32" t="inlineStr">
        <x:is>
          <x:t xml:space="preserve">Claude 3.5 (Anthropic)</x:t>
        </x:is>
      </x:c>
      <x:c r="D27" s="32" t="inlineStr">
        <x:is>
          <x:t xml:space="preserve">Diagnosing local node environment execution crash during dev runtime and client schema generations on branch #90.</x:t>
        </x:is>
      </x:c>
      <x:c r="E27" s="32" t="inlineStr">
        <x:is>
          <x:t xml:space="preserve">Suggested configuration mapping using custom initialization wrapper layers (src/lib/env.js).</x:t>
        </x:is>
      </x:c>
      <x:c r="F27" s="32" t="inlineStr">
        <x:is>
          <x:t xml:space="preserve">Manually generated local client instances via "npm run prisma:generate" and checked runtime limits on local Node engine (v25.9.0).</x:t>
        </x:is>
      </x:c>
      <x:c r="G27" s="32" t="inlineStr">
        <x:is>
          <x:t xml:space="preserve">Adopted custom path mapping patterns to resolve application bootstrap issues across varying runtime scopes.</x:t>
        </x:is>
      </x:c>
      <x:c r="H27" s="32" t="inlineStr">
        <x:is>
          <x:t xml:space="preserve">My own initial local commit introduced an incorrect double nested path string (src/lib/src/lib/env.js) into prisma.js that broke text compilation; caught it on code review and fixed it back to standard relative imports.</x:t>
        </x:is>
      </x:c>
    </x:row>
    <x:row r="28" ht="95.19999694824219" hidden="0">
      <x:c r="A28" s="32" t="inlineStr">
        <x:is>
          <x:t xml:space="preserve">30 September 2026</x:t>
        </x:is>
      </x:c>
      <x:c r="B28" s="32" t="inlineStr">
        <x:is>
          <x:t xml:space="preserve">Darius Mushi</x:t>
        </x:is>
      </x:c>
      <x:c r="C28" s="32" t="inlineStr">
        <x:is>
          <x:t xml:space="preserve">Claude 3.5 (Anthropic)</x:t>
        </x:is>
      </x:c>
      <x:c r="D28" s="32" t="inlineStr">
        <x:is>
          <x:t xml:space="preserve">Construction of automated integration test runner sequences to satisfy RSK-01 and ADR-002 authentication/persistence criteria.</x:t>
        </x:is>
      </x:c>
      <x:c r="E28" s="32" t="inlineStr">
        <x:is>
          <x:t xml:space="preserve">Provided layout structures for executing raw SQL queries and tracking validation state assertions.</x:t>
        </x:is>
      </x:c>
      <x:c r="F28" s="32" t="inlineStr">
        <x:is>
          <x:t xml:space="preserve">Run test runner tool locally ("npm test") using live PostgreSQL targets to check baseline passes on local host Node engine runtime environment (v25.9.0).</x:t>
        </x:is>
      </x:c>
      <x:c r="G28" s="32" t="inlineStr">
        <x:is>
          <x:t xml:space="preserve">Replaced generic token logs with an active argon2.hash and argon2.verify loop executing inside ephemeral temporary tables to establish robust authentication validations.</x:t>
        </x:is>
      </x:c>
      <x:c r="H28" s="32" t="inlineStr">
        <x:is>
          <x:t xml:space="preserve">A markdown parsing mismatch repeatedly inserted hidden escape backslashes (\$) before Prisma calls into the physical test script file during copy-pasting, causing syntax errors on external checkouts. Resolved by running an automated regex string replace pattern directly through the shell terminal workspace.</x:t>
        </x:is>
      </x:c>
    </x:row>
    <x:row r="29" ht="47.599998474121094" hidden="0">
      <x:c r="A29" s="32" t="inlineStr">
        <x:is>
          <x:t xml:space="preserve">29 September 2026</x:t>
        </x:is>
      </x:c>
      <x:c r="B29" s="32" t="inlineStr">
        <x:is>
          <x:t xml:space="preserve">Jean Smit</x:t>
        </x:is>
      </x:c>
      <x:c r="C29" s="32" t="inlineStr">
        <x:is>
          <x:t xml:space="preserve">Claude Code (Anthropic)</x:t>
        </x:is>
      </x:c>
      <x:c r="D29" s="32" t="inlineStr">
        <x:is>
          <x:t xml:space="preserve">M2 register changes: RTM restructure, Decision Log, change requests, RSK-12 and this register (#54, #68, #70)</x:t>
        </x:is>
      </x:c>
      <x:c r="E29" s="32" t="inlineStr">
        <x:is>
          <x:t xml:space="preserve">Drafted the RTM mapping for 42 requirements, the Decision Log rows from the ADRs, and the change requests</x:t>
        </x:is>
      </x:c>
      <x:c r="F29" s="32" t="inlineStr">
        <x:is>
          <x:t xml:space="preserve">Every identifier checked against the ADRs, the requirements and the drivers record; the workbook parts compared before and after, with every unchanged part byte-identical; the workbook opened and recalculated in Excel and the formula values compared</x:t>
        </x:is>
      </x:c>
      <x:c r="G29" s="32" t="inlineStr">
        <x:is>
          <x:t xml:space="preserve">Accepted after revision</x:t>
        </x:is>
      </x:c>
      <x:c r="H29" s="32" t="inlineStr">
        <x:is>
          <x:t xml:space="preserve">[To be completed by Jean Smit after review of this pull request.]</x:t>
        </x:is>
      </x:c>
    </x:row>
    <x:row r="30">
      <x:c r="A30" s="28" t="str">
        <x:v>7 October 2026</x:v>
      </x:c>
      <x:c r="B30" s="28" t="str">
        <x:v>Tristan Roets</x:v>
      </x:c>
      <x:c r="C30" s="28" t="str">
        <x:v>ChatGPT (OpenAI, GPT-5.6 Sol)</x:v>
      </x:c>
      <x:c r="D30" s="28" t="str">
        <x:v>#109: Prisma schema, seed data and migration planning</x:v>
      </x:c>
      <x:c r="E30" s="28" t="str">
        <x:v>Helped review the live #109 requirements and ADR-007, draft the Prisma schema/seed/configuration, and sequence the work around #90/#108 so the first User migration is not duplicated.</x:v>
      </x:c>
      <x:c r="F30" s="28" t="str">
        <x:v>Compared the proposed fields and seed behaviour against #109, ADR-007, the current #90 head and Jean's passwordHash/reset-field comment. Migration work was deliberately held when the required #108 migration was not yet present.</x:v>
      </x:c>
      <x:c r="G30" s="28" t="str">
        <x:v>Accepted after revision</x:v>
      </x:c>
      <x:c r="H30" s="28" t="str">
        <x:v>The first approach risked creating a duplicate User migration. Live repository checks showed #90 had not yet introduced it, so only schema/seed/configuration work was kept and migration work was deferred.</x:v>
      </x:c>
    </x:row>
    <x:row r="31">
      <x:c r="A31" s="28" t="str">
        <x:v>7 October 2026</x:v>
      </x:c>
      <x:c r="B31" s="28" t="str">
        <x:v>Tristan Roets</x:v>
      </x:c>
      <x:c r="C31" s="28" t="str">
        <x:v>ChatGPT (OpenAI, GPT-5.6 Sol)</x:v>
      </x:c>
      <x:c r="D31" s="28" t="str">
        <x:v>M3 pull-request reviews: #106, #130 to #136 and #95</x:v>
      </x:c>
      <x:c r="E31" s="28" t="str">
        <x:v>Assisted with inspecting current PR heads, identifying blocking versus non-blocking review points, and drafting concise review/contract comments.</x:v>
      </x:c>
      <x:c r="F31" s="28" t="str">
        <x:v>Each recommendation was checked against the live PR description, current head, changed files/review comments and Jean's ordered review instructions before I posted an approval or contract response.</x:v>
      </x:c>
      <x:c r="G31" s="28" t="str">
        <x:v>Accepted after revision</x:v>
      </x:c>
      <x:c r="H31" s="28" t="str">
        <x:v>The review sequence initially omitted the explicit #114/#116 screen-contract confirmations; these were caught by rechecking Jean's instructions and posted separately on #134/#133.</x:v>
      </x:c>
    </x:row>
    <x:row r="32">
      <x:c r="A32" s="28" t="str">
        <x:v>7 October 2026</x:v>
      </x:c>
      <x:c r="B32" s="28" t="str">
        <x:v>Tristan Roets</x:v>
      </x:c>
      <x:c r="C32" s="28" t="str">
        <x:v>ChatGPT (OpenAI, GPT-5.6 Sol)</x:v>
      </x:c>
      <x:c r="D32" s="28" t="str">
        <x:v>#114: staff queue search, filter, sort and paging</x:v>
      </x:c>
      <x:c r="E32" s="28" t="str">
        <x:v>Helped draft query validation, a policy-scoped queue service, HTTP boundary, test cases and the draft PR contract.</x:v>
      </x:c>
      <x:c r="F32" s="28" t="str">
        <x:v>Checked the implementation shape against #114, ADR-006 scopedWhere, the #134 UI contract and the NFR-001 5,000-request performance requirement. The PR remains draft until Prisma/Express wiring can use #109.</x:v>
      </x:c>
      <x:c r="G32" s="28" t="str">
        <x:v>Accepted after revision</x:v>
      </x:c>
      <x:c r="H32" s="28" t="str">
        <x:v>The persistence adapter and real route could not safely be completed before the final #109/#90 persistence/bootstrap work, so the draft explicitly records that dependency.</x:v>
      </x:c>
    </x:row>
    <x:row r="33">
      <x:c r="A33" s="28" t="str">
        <x:v>7 October 2026</x:v>
      </x:c>
      <x:c r="B33" s="28" t="str">
        <x:v>Tristan Roets</x:v>
      </x:c>
      <x:c r="C33" s="28" t="str">
        <x:v>ChatGPT (OpenAI, GPT-5.6 Sol)</x:v>
      </x:c>
      <x:c r="D33" s="28" t="str">
        <x:v>#116: requester notifications derived from saved history</x:v>
      </x:c>
      <x:c r="E33" s="28" t="str">
        <x:v>Helped draft the ADR-008 event mapping service, HTTP boundary, regression tests and draft PR description.</x:v>
      </x:c>
      <x:c r="F33" s="28" t="str">
        <x:v>Checked accepted/updated/rejected/completed mappings against ADR-008 and the #133 response contract; verified that no Notification table is introduced and internal ActionEntry records are filtered.</x:v>
      </x:c>
      <x:c r="G33" s="28" t="str">
        <x:v>Accepted after revision</x:v>
      </x:c>
      <x:c r="H33" s="28" t="str">
        <x:v>The final Prisma source adapter/route remains dependent on #109/#90; the draft therefore keeps persistence evidence as a later wiring step instead of inventing a parallel notification store.</x:v>
      </x:c>
    </x:row>
    <x:row r="34">
      <x:c r="A34" s="28" t="str">
        <x:v>7 October 2026</x:v>
      </x:c>
      <x:c r="B34" s="28" t="str">
        <x:v>Tristan Roets</x:v>
      </x:c>
      <x:c r="C34" s="28" t="str">
        <x:v>ChatGPT (OpenAI, GPT-5.6 Sol)</x:v>
      </x:c>
      <x:c r="D34" s="28" t="str">
        <x:v>#117: management summary and overdue reports</x:v>
      </x:c>
      <x:c r="E34" s="28" t="str">
        <x:v>Helped draft date validation, summary/overdue services, HTTP handlers, tests and the draft PR contract.</x:v>
      </x:c>
      <x:c r="F34" s="28" t="str">
        <x:v>Checked the response shape against #135 and #117, including whole-day age &gt; target, oldest-first overdue results and the existing `viewManagementCounts` policy permission.</x:v>
      </x:c>
      <x:c r="G34" s="28" t="str">
        <x:v>Accepted after revision</x:v>
      </x:c>
      <x:c r="H34" s="28" t="str">
        <x:v>A controlled-source mismatch was found: #117 says Manager only, while ADR-006 and #135 currently permit Coordinator and Manager. The draft calls this out for Jean instead of hard-coding a second role rule.</x:v>
      </x:c>
    </x:row>
    <x:row r="35">
      <x:c r="A35" s="28" t="str">
        <x:v>7 October 2026</x:v>
      </x:c>
      <x:c r="B35" s="28" t="str">
        <x:v>Tristan Roets</x:v>
      </x:c>
      <x:c r="C35" s="28" t="str">
        <x:v>ChatGPT (OpenAI, GPT-5.6 Sol)</x:v>
      </x:c>
      <x:c r="D35" s="28" t="str">
        <x:v>#125: Technical Debt, Defect, Risk, AI and NFR-008 data-inventory update</x:v>
      </x:c>
      <x:c r="E35" s="28" t="str">
        <x:v>Helped inspect the controlled workbook and live M3 issues, draft the new register entries, add RSK-30 and document every stored personal/security-sensitive field relevant to NFR-008.</x:v>
      </x:c>
      <x:c r="F35" s="28" t="str">
        <x:v>Entries were checked against #125, #107/#129 for RSK-30, the current Risk and Access Matrix sheets, NFR-008, ADR-007 and the live M3 work. Existing formulas/styles were preserved and the final workbook was scanned for formula errors.</x:v>
      </x:c>
      <x:c r="G35" s="28" t="str">
        <x:v>Accepted after revision</x:v>
      </x:c>
      <x:c r="H35" s="28" t="str">
        <x:v>The workbook branch is based on main while #106/#129/#136 are still open binary-workbook changes. This update will need to be rebased/reapplied after those controlled workbook PRs merge to avoid overwriting newer cells.</x:v>
      </x:c>
    </x:row>
  </x:sheetData>
  <x:mergeCells>
    <x:mergeCell ref="A1:H1"/>
  </x:mergeCells>
  <x:pageMargins left="0.7" right="0.7" top="0.75" bottom="0.75" header="0.3" footer="0.3"/>
</x:worksheet>
</file>

<file path=xl/worksheets/sheet12.xml><?xml version="1.0" encoding="utf-8"?>
<x:worksheet xmlns:x="http://schemas.openxmlformats.org/spreadsheetml/2006/main">
  <x:sheetViews>
    <x:sheetView showGridLines="1" workbookViewId="0"/>
  </x:sheetViews>
  <x:sheetFormatPr defaultColWidth="8.6796875" defaultRowHeight="15"/>
  <x:cols>
    <x:col min="1" max="1" width="11" hidden="0" customWidth="1"/>
    <x:col min="2" max="2" width="14" hidden="0" customWidth="1"/>
    <x:col min="3" max="3" width="11" hidden="0" customWidth="1"/>
    <x:col min="4" max="15" width="30" hidden="0" customWidth="1"/>
    <x:col min="16" max="16" width="34" hidden="0" customWidth="1"/>
  </x:cols>
  <x:sheetData>
    <x:row r="1" ht="25.5" hidden="0" customHeight="1">
      <x:c r="A1" s="7" t="inlineStr">
        <x:is>
          <x:t xml:space="preserve">Change requests (Master Brief Appendix E and s14). Each row records a change to baselined content, its impact and its approval.</x:t>
        </x:is>
      </x:c>
      <x:c r="B1" s="7"/>
      <x:c r="C1" s="7"/>
      <x:c r="D1" s="7"/>
      <x:c r="E1" s="7"/>
      <x:c r="F1" s="7"/>
      <x:c r="G1" s="7"/>
      <x:c r="H1" s="7"/>
      <x:c r="I1" s="7"/>
      <x:c r="J1" s="7"/>
      <x:c r="K1" s="7"/>
      <x:c r="L1" s="7"/>
      <x:c r="M1" s="7"/>
      <x:c r="N1" s="7"/>
      <x:c r="O1" s="7"/>
      <x:c r="P1" s="7"/>
    </x:row>
    <x:row r="2" ht="30" hidden="0" customHeight="1">
      <x:c r="A2" s="8" t="s">
        <x:v>752</x:v>
      </x:c>
      <x:c r="B2" s="8" t="s">
        <x:v>753</x:v>
      </x:c>
      <x:c r="C2" s="8" t="s">
        <x:v>710</x:v>
      </x:c>
      <x:c r="D2" s="8" t="s">
        <x:v>754</x:v>
      </x:c>
      <x:c r="E2" s="8" t="s">
        <x:v>755</x:v>
      </x:c>
      <x:c r="F2" s="8" t="s">
        <x:v>756</x:v>
      </x:c>
      <x:c r="G2" s="8" t="s">
        <x:v>757</x:v>
      </x:c>
      <x:c r="H2" s="8" t="s">
        <x:v>758</x:v>
      </x:c>
      <x:c r="I2" s="8" t="s">
        <x:v>759</x:v>
      </x:c>
      <x:c r="J2" s="8" t="s">
        <x:v>760</x:v>
      </x:c>
      <x:c r="K2" s="8" t="s">
        <x:v>761</x:v>
      </x:c>
      <x:c r="L2" s="8" t="s">
        <x:v>762</x:v>
      </x:c>
      <x:c r="M2" s="8" t="s">
        <x:v>763</x:v>
      </x:c>
      <x:c r="N2" s="8" t="s">
        <x:v>764</x:v>
      </x:c>
      <x:c r="O2" s="8" t="s">
        <x:v>765</x:v>
      </x:c>
      <x:c r="P2" s="8" t="s">
        <x:v>766</x:v>
      </x:c>
    </x:row>
    <x:row r="3" ht="83.30000305175781" hidden="0">
      <x:c r="A3" s="9" t="inlineStr">
        <x:is>
          <x:t xml:space="preserve">CR-001</x:t>
        </x:is>
      </x:c>
      <x:c r="B3" s="9" t="inlineStr">
        <x:is>
          <x:t xml:space="preserve">Jean Smit</x:t>
        </x:is>
      </x:c>
      <x:c r="C3" s="9" t="inlineStr">
        <x:is>
          <x:t xml:space="preserve">23 September 2026</x:t>
        </x:is>
      </x:c>
      <x:c r="D3" s="9" t="inlineStr">
        <x:is>
          <x:t xml:space="preserve">Move the PED source from Word to markdown, with the Word document generated from it (#55). PED v1.0 stays unchanged as the M1 record.</x:t>
        </x:is>
      </x:c>
      <x:c r="E3" s="9" t="inlineStr">
        <x:is>
          <x:t xml:space="preserve">The M1 gate feedback asked for markdown compiled to Word. A2 Task 4 found that a Word file in git cannot be reviewed line by line and conflicts when two pull requests change it, which forced #40, #42 and #44 to be rebuilt as #46.</x:t>
        </x:is>
      </x:c>
      <x:c r="F3" s="9" t="inlineStr">
        <x:is>
          <x:t xml:space="preserve">None</x:t>
        </x:is>
      </x:c>
      <x:c r="G3" s="9" t="inlineStr">
        <x:is>
          <x:t xml:space="preserve">None</x:t>
        </x:is>
      </x:c>
      <x:c r="H3" s="9" t="inlineStr">
        <x:is>
          <x:t xml:space="preserve">None</x:t>
        </x:is>
      </x:c>
      <x:c r="I3" s="9" t="inlineStr">
        <x:is>
          <x:t xml:space="preserve">None</x:t>
        </x:is>
      </x:c>
      <x:c r="J3" s="9" t="inlineStr">
        <x:is>
          <x:t xml:space="preserve">The conversion is checked by a fidelity check: 1504 blocks and 18,169 words identical to v1.0. The build is checked by rebuilding v1.0 and comparing the rendered pages.</x:t>
        </x:is>
      </x:c>
      <x:c r="K3" s="9" t="inlineStr">
        <x:is>
          <x:t xml:space="preserve">None</x:t>
        </x:is>
      </x:c>
      <x:c r="L3" s="9" t="inlineStr">
        <x:is>
          <x:t xml:space="preserve">Build tooling in M2 (#95). Later PED changes are reviewed as text.</x:t>
        </x:is>
      </x:c>
      <x:c r="M3" s="9" t="inlineStr">
        <x:is>
          <x:t xml:space="preserve">None. Pandoc and Python are free.</x:t>
        </x:is>
      </x:c>
      <x:c r="N3" s="9" t="inlineStr">
        <x:is>
          <x:t xml:space="preserve">Reduces the merge-conflict and review exposure recorded under RSK-04.</x:t>
        </x:is>
      </x:c>
      <x:c r="O3" s="9" t="inlineStr">
        <x:is>
          <x:t xml:space="preserve">ACCEPT</x:t>
        </x:is>
      </x:c>
      <x:c r="P3" s="9" t="inlineStr">
        <x:is>
          <x:t xml:space="preserve">Pending the M2 baseline sign-off (#69).</x:t>
        </x:is>
      </x:c>
    </x:row>
    <x:row r="4" ht="71.4000015258789" hidden="0">
      <x:c r="A4" s="10" t="inlineStr">
        <x:is>
          <x:t xml:space="preserve">CR-002</x:t>
        </x:is>
      </x:c>
      <x:c r="B4" s="10" t="inlineStr">
        <x:is>
          <x:t xml:space="preserve">Jean Smit</x:t>
        </x:is>
      </x:c>
      <x:c r="C4" s="10" t="inlineStr">
        <x:is>
          <x:t xml:space="preserve">28 September 2026</x:t>
        </x:is>
      </x:c>
      <x:c r="D4" s="10" t="inlineStr">
        <x:is>
          <x:t xml:space="preserve">Correct four Access Matrix cells to the requirements: the Manager may not assign, reject or set priority, and the Coordinator may not accept an unassigned request (#92).</x:t>
        </x:is>
      </x:c>
      <x:c r="E4" s="10" t="inlineStr">
        <x:is>
          <x:t xml:space="preserve">The cells grant what FR-015, FR-020 and FR-021 refuse, with the Status Model that FR-016 makes authoritative for transitions. Found by the ADR-006 tests, which generate a case from every cell.</x:t>
        </x:is>
      </x:c>
      <x:c r="F4" s="10" t="inlineStr">
        <x:is>
          <x:t xml:space="preserve">FR-002, whose authoritative statement is the matrix; FR-015, FR-016, FR-020, FR-021; NFR-005.</x:t>
        </x:is>
      </x:c>
      <x:c r="G4" s="10" t="inlineStr">
        <x:is>
          <x:t xml:space="preserve">None to ADR-005 or ADR-006. The policy already denies the four cells; MATRIX_CONFLICTS in policy.js is emptied and the fixture re-exported.</x:t>
        </x:is>
      </x:c>
      <x:c r="H4" s="10" t="inlineStr">
        <x:is>
          <x:t xml:space="preserve">None</x:t>
        </x:is>
      </x:c>
      <x:c r="I4" s="10" t="inlineStr">
        <x:is>
          <x:t xml:space="preserve">Removes four grants the requirements refuse, in line with deny by default under NFR-005.</x:t>
        </x:is>
      </x:c>
      <x:c r="J4" s="10" t="inlineStr">
        <x:is>
          <x:t xml:space="preserve">The four conflict assertions become ordinary denials, and the fixture is re-exported from the corrected register.</x:t>
        </x:is>
      </x:c>
      <x:c r="K4" s="10" t="inlineStr">
        <x:is>
          <x:t xml:space="preserve">None</x:t>
        </x:is>
      </x:c>
      <x:c r="L4" s="10" t="inlineStr">
        <x:is>
          <x:t xml:space="preserve">One register edit and one test update.</x:t>
        </x:is>
      </x:c>
      <x:c r="M4" s="10" t="inlineStr">
        <x:is>
          <x:t xml:space="preserve">None</x:t>
        </x:is>
      </x:c>
      <x:c r="N4" s="10" t="inlineStr">
        <x:is>
          <x:t xml:space="preserve">RSK-05</x:t>
        </x:is>
      </x:c>
      <x:c r="O4" s="10" t="inlineStr">
        <x:is>
          <x:t xml:space="preserve">ACCEPT, correcting the matrix. The alternative, changing the Status Model and FR-021 to match the matrix, is the larger change and affects ADR-005.</x:t>
        </x:is>
      </x:c>
      <x:c r="P4" s="10" t="inlineStr">
        <x:is>
          <x:t xml:space="preserve">Pending the team decision at the M2 baseline sign-off (#69).</x:t>
        </x:is>
      </x:c>
    </x:row>
    <x:row r="5" ht="83.30000305175781" hidden="0">
      <x:c r="A5" s="9" t="inlineStr">
        <x:is>
          <x:t xml:space="preserve">CR-003</x:t>
        </x:is>
      </x:c>
      <x:c r="B5" s="9" t="inlineStr">
        <x:is>
          <x:t xml:space="preserve">Jean Smit</x:t>
        </x:is>
      </x:c>
      <x:c r="C5" s="9" t="inlineStr">
        <x:is>
          <x:t xml:space="preserve">29 September 2026</x:t>
        </x:is>
      </x:c>
      <x:c r="D5" s="9" t="inlineStr">
        <x:is>
          <x:t xml:space="preserve">Replace RTM columns G to L (related risk or FEC, design, issue or pull request, implementation, test and release evidence) with the eight M2 columns, keeping the requirement columns and status (#54).</x:t>
        </x:is>
      </x:c>
      <x:c r="E5" s="9" t="inlineStr">
        <x:is>
          <x:t xml:space="preserve">The M2 brief requires the RTM to show how requirements became engineering decisions and implementation evidence (M2 brief s4.2 and s9). The M1 title cell said the columns must not be deleted, so the change goes through change control.</x:t>
        </x:is>
      </x:c>
      <x:c r="F5" s="9" t="inlineStr">
        <x:is>
          <x:t xml:space="preserve">None. Every requirement keeps its row.</x:t>
        </x:is>
      </x:c>
      <x:c r="G5" s="9" t="inlineStr">
        <x:is>
          <x:t xml:space="preserve">None</x:t>
        </x:is>
      </x:c>
      <x:c r="H5" s="9" t="inlineStr">
        <x:is>
          <x:t xml:space="preserve">None</x:t>
        </x:is>
      </x:c>
      <x:c r="I5" s="9" t="inlineStr">
        <x:is>
          <x:t xml:space="preserve">None</x:t>
        </x:is>
      </x:c>
      <x:c r="J5" s="9" t="inlineStr">
        <x:is>
          <x:t xml:space="preserve">Verification evidence replaces the test column, and every cell holds evidence or a controlled status.</x:t>
        </x:is>
      </x:c>
      <x:c r="K5" s="9" t="inlineStr">
        <x:is>
          <x:t xml:space="preserve">None. Release evidence is added back at M4, when it exists.</x:t>
        </x:is>
      </x:c>
      <x:c r="L5" s="9" t="inlineStr">
        <x:is>
          <x:t xml:space="preserve">Part of M2 (#54).</x:t>
        </x:is>
      </x:c>
      <x:c r="M5" s="9" t="inlineStr">
        <x:is>
          <x:t xml:space="preserve">None</x:t>
        </x:is>
      </x:c>
      <x:c r="N5" s="9" t="inlineStr">
        <x:is>
          <x:t xml:space="preserve">RSK-03. The related risk and FEC identifiers move into the reference column.</x:t>
        </x:is>
      </x:c>
      <x:c r="O5" s="9" t="inlineStr">
        <x:is>
          <x:t xml:space="preserve">ACCEPT</x:t>
        </x:is>
      </x:c>
      <x:c r="P5" s="9" t="inlineStr">
        <x:is>
          <x:t xml:space="preserve">Pending the M2 baseline sign-off (#69).</x:t>
        </x:is>
      </x:c>
    </x:row>
  </x:sheetData>
  <x:mergeCells>
    <x:mergeCell ref="A1:P1"/>
  </x:mergeCells>
  <x:pageMargins left="0.7" right="0.7" top="0.75" bottom="0.75" header="0.3" footer="0.3"/>
</x:worksheet>
</file>

<file path=xl/worksheets/sheet13.xml><?xml version="1.0" encoding="utf-8"?>
<x:worksheet xmlns:x="http://schemas.openxmlformats.org/spreadsheetml/2006/main">
  <x:sheetViews>
    <x:sheetView showGridLines="1" workbookViewId="0"/>
  </x:sheetViews>
  <x:sheetFormatPr defaultColWidth="8.6796875" defaultRowHeight="15"/>
  <x:cols>
    <x:col min="1" max="2" width="18" hidden="0" customWidth="1"/>
    <x:col min="3" max="3" width="24" hidden="0" customWidth="1"/>
    <x:col min="4" max="4" width="66" hidden="0" customWidth="1"/>
  </x:cols>
  <x:sheetData>
    <x:row r="1" ht="25.5" hidden="0" customHeight="1">
      <x:c r="A1" s="7" t="s">
        <x:v>767</x:v>
      </x:c>
      <x:c r="B1" s="7"/>
      <x:c r="C1" s="7"/>
      <x:c r="D1" s="7"/>
    </x:row>
    <x:row r="2" ht="30" hidden="0" customHeight="1">
      <x:c r="A2" s="8" t="s">
        <x:v>768</x:v>
      </x:c>
      <x:c r="B2" s="8" t="s">
        <x:v>769</x:v>
      </x:c>
      <x:c r="C2" s="8" t="s">
        <x:v>770</x:v>
      </x:c>
      <x:c r="D2" s="8" t="s">
        <x:v>771</x:v>
      </x:c>
    </x:row>
    <x:row r="3" ht="15" hidden="0">
      <x:c r="A3" s="9" t="s">
        <x:v>772</x:v>
      </x:c>
      <x:c r="B3" s="9" t="s">
        <x:v>773</x:v>
      </x:c>
      <x:c r="C3" s="9" t="s">
        <x:v>774</x:v>
      </x:c>
      <x:c r="D3" s="9" t="s">
        <x:v>775</x:v>
      </x:c>
    </x:row>
    <x:row r="4" ht="15" hidden="0">
      <x:c r="A4" s="10" t="s">
        <x:v>772</x:v>
      </x:c>
      <x:c r="B4" s="10" t="s">
        <x:v>776</x:v>
      </x:c>
      <x:c r="C4" s="10" t="s">
        <x:v>777</x:v>
      </x:c>
      <x:c r="D4" s="10" t="s">
        <x:v>778</x:v>
      </x:c>
    </x:row>
    <x:row r="5" ht="15" hidden="0">
      <x:c r="A5" s="9" t="s">
        <x:v>772</x:v>
      </x:c>
      <x:c r="B5" s="9" t="s">
        <x:v>779</x:v>
      </x:c>
      <x:c r="C5" s="9" t="s">
        <x:v>774</x:v>
      </x:c>
      <x:c r="D5" s="9" t="s">
        <x:v>780</x:v>
      </x:c>
    </x:row>
    <x:row r="6" ht="15" hidden="0">
      <x:c r="A6" s="10" t="s">
        <x:v>773</x:v>
      </x:c>
      <x:c r="B6" s="10" t="s">
        <x:v>776</x:v>
      </x:c>
      <x:c r="C6" s="10" t="s">
        <x:v>781</x:v>
      </x:c>
      <x:c r="D6" s="10" t="s">
        <x:v>782</x:v>
      </x:c>
    </x:row>
    <x:row r="7" ht="15" hidden="0">
      <x:c r="A7" s="9" t="s">
        <x:v>773</x:v>
      </x:c>
      <x:c r="B7" s="9" t="s">
        <x:v>773</x:v>
      </x:c>
      <x:c r="C7" s="9" t="s">
        <x:v>774</x:v>
      </x:c>
      <x:c r="D7" s="9" t="s">
        <x:v>783</x:v>
      </x:c>
    </x:row>
    <x:row r="8" ht="15" hidden="0">
      <x:c r="A8" s="10" t="s">
        <x:v>773</x:v>
      </x:c>
      <x:c r="B8" s="10" t="s">
        <x:v>779</x:v>
      </x:c>
      <x:c r="C8" s="10" t="s">
        <x:v>774</x:v>
      </x:c>
      <x:c r="D8" s="10" t="s">
        <x:v>784</x:v>
      </x:c>
    </x:row>
    <x:row r="9" ht="15" hidden="0">
      <x:c r="A9" s="9" t="s">
        <x:v>776</x:v>
      </x:c>
      <x:c r="B9" s="9" t="s">
        <x:v>785</x:v>
      </x:c>
      <x:c r="C9" s="9" t="s">
        <x:v>781</x:v>
      </x:c>
      <x:c r="D9" s="9" t="s">
        <x:v>786</x:v>
      </x:c>
    </x:row>
    <x:row r="10" ht="15" hidden="0">
      <x:c r="A10" s="10" t="s">
        <x:v>776</x:v>
      </x:c>
      <x:c r="B10" s="10" t="s">
        <x:v>787</x:v>
      </x:c>
      <x:c r="C10" s="10" t="s">
        <x:v>781</x:v>
      </x:c>
      <x:c r="D10" s="10" t="s">
        <x:v>788</x:v>
      </x:c>
    </x:row>
    <x:row r="11" ht="15" hidden="0">
      <x:c r="A11" s="9" t="s">
        <x:v>785</x:v>
      </x:c>
      <x:c r="B11" s="9" t="s">
        <x:v>776</x:v>
      </x:c>
      <x:c r="C11" s="9" t="s">
        <x:v>781</x:v>
      </x:c>
      <x:c r="D11" s="9" t="s">
        <x:v>789</x:v>
      </x:c>
    </x:row>
    <x:row r="12" ht="15" hidden="0">
      <x:c r="A12" s="10" t="s">
        <x:v>785</x:v>
      </x:c>
      <x:c r="B12" s="10" t="s">
        <x:v>779</x:v>
      </x:c>
      <x:c r="C12" s="10" t="s">
        <x:v>774</x:v>
      </x:c>
      <x:c r="D12" s="10" t="s">
        <x:v>784</x:v>
      </x:c>
    </x:row>
    <x:row r="13" ht="15" hidden="0">
      <x:c r="A13" s="9" t="s">
        <x:v>787</x:v>
      </x:c>
      <x:c r="B13" s="9" t="s">
        <x:v>790</x:v>
      </x:c>
      <x:c r="C13" s="9" t="s">
        <x:v>791</x:v>
      </x:c>
      <x:c r="D13" s="9" t="s">
        <x:v>792</x:v>
      </x:c>
    </x:row>
    <x:row r="14" ht="15" hidden="0">
      <x:c r="A14" s="10" t="s">
        <x:v>787</x:v>
      </x:c>
      <x:c r="B14" s="10" t="s">
        <x:v>776</x:v>
      </x:c>
      <x:c r="C14" s="10" t="s">
        <x:v>774</x:v>
      </x:c>
      <x:c r="D14" s="10" t="s">
        <x:v>793</x:v>
      </x:c>
    </x:row>
  </x:sheetData>
  <x:mergeCells>
    <x:mergeCell ref="A1:D1"/>
  </x:mergeCells>
  <x:pageMargins left="0.7" right="0.7" top="0.75" bottom="0.75" header="0.3" footer="0.3"/>
</x:worksheet>
</file>

<file path=xl/worksheets/sheet14.xml><?xml version="1.0" encoding="utf-8"?>
<x:worksheet xmlns:x="http://schemas.openxmlformats.org/spreadsheetml/2006/main">
  <x:sheetViews>
    <x:sheetView showGridLines="1" workbookViewId="0"/>
  </x:sheetViews>
  <x:sheetFormatPr defaultColWidth="8.6796875" defaultRowHeight="15"/>
  <x:cols>
    <x:col min="1" max="1" width="56" hidden="0" customWidth="1"/>
    <x:col min="2" max="2" width="14" hidden="0" customWidth="1"/>
    <x:col min="3" max="3" width="12" hidden="0" customWidth="1"/>
    <x:col min="4" max="4" width="15" hidden="0" customWidth="1"/>
    <x:col min="5" max="5" width="13" hidden="0" customWidth="1"/>
  </x:cols>
  <x:sheetData>
    <x:row r="1" ht="25.5" hidden="0" customHeight="1">
      <x:c r="A1" s="7" t="s">
        <x:v>794</x:v>
      </x:c>
      <x:c r="B1" s="7"/>
      <x:c r="C1" s="7"/>
      <x:c r="D1" s="7"/>
      <x:c r="E1" s="7"/>
    </x:row>
    <x:row r="2" ht="30" hidden="0" customHeight="1">
      <x:c r="A2" s="8" t="s">
        <x:v>795</x:v>
      </x:c>
      <x:c r="B2" s="8" t="s">
        <x:v>796</x:v>
      </x:c>
      <x:c r="C2" s="8" t="s">
        <x:v>777</x:v>
      </x:c>
      <x:c r="D2" s="8" t="s">
        <x:v>774</x:v>
      </x:c>
      <x:c r="E2" s="8" t="s">
        <x:v>797</x:v>
      </x:c>
    </x:row>
    <x:row r="3" ht="15" hidden="0">
      <x:c r="A3" s="9" t="s">
        <x:v>798</x:v>
      </x:c>
      <x:c r="B3" s="9" t="s">
        <x:v>799</x:v>
      </x:c>
      <x:c r="C3" s="9" t="s">
        <x:v>799</x:v>
      </x:c>
      <x:c r="D3" s="9" t="s">
        <x:v>799</x:v>
      </x:c>
      <x:c r="E3" s="9" t="s">
        <x:v>799</x:v>
      </x:c>
    </x:row>
    <x:row r="4" ht="15" hidden="0">
      <x:c r="A4" s="10" t="s">
        <x:v>800</x:v>
      </x:c>
      <x:c r="B4" s="10" t="s">
        <x:v>799</x:v>
      </x:c>
      <x:c r="C4" s="10" t="s">
        <x:v>799</x:v>
      </x:c>
      <x:c r="D4" s="10" t="s">
        <x:v>799</x:v>
      </x:c>
      <x:c r="E4" s="10" t="s">
        <x:v>799</x:v>
      </x:c>
    </x:row>
    <x:row r="5" ht="15" hidden="0">
      <x:c r="A5" s="9" t="s">
        <x:v>801</x:v>
      </x:c>
      <x:c r="B5" s="9" t="s">
        <x:v>802</x:v>
      </x:c>
      <x:c r="C5" s="9" t="s">
        <x:v>799</x:v>
      </x:c>
      <x:c r="D5" s="9" t="s">
        <x:v>799</x:v>
      </x:c>
      <x:c r="E5" s="9" t="s">
        <x:v>799</x:v>
      </x:c>
    </x:row>
    <x:row r="6" ht="15" hidden="0">
      <x:c r="A6" s="10" t="s">
        <x:v>803</x:v>
      </x:c>
      <x:c r="B6" s="10" t="s">
        <x:v>802</x:v>
      </x:c>
      <x:c r="C6" s="10" t="s">
        <x:v>799</x:v>
      </x:c>
      <x:c r="D6" s="10" t="s">
        <x:v>799</x:v>
      </x:c>
      <x:c r="E6" s="10" t="s">
        <x:v>799</x:v>
      </x:c>
    </x:row>
    <x:row r="7" ht="15" hidden="0">
      <x:c r="A7" s="9" t="s">
        <x:v>804</x:v>
      </x:c>
      <x:c r="B7" s="9" t="s">
        <x:v>802</x:v>
      </x:c>
      <x:c r="C7" s="9" t="s">
        <x:v>802</x:v>
      </x:c>
      <x:c r="D7" s="9" t="s">
        <x:v>799</x:v>
      </x:c>
      <x:c r="E7" s="9" t="s">
        <x:v>799</x:v>
      </x:c>
    </x:row>
    <x:row r="8" ht="15" hidden="0">
      <x:c r="A8" s="10" t="s">
        <x:v>805</x:v>
      </x:c>
      <x:c r="B8" s="10" t="s">
        <x:v>802</x:v>
      </x:c>
      <x:c r="C8" s="10" t="s">
        <x:v>799</x:v>
      </x:c>
      <x:c r="D8" s="10" t="s">
        <x:v>799</x:v>
      </x:c>
      <x:c r="E8" s="10" t="s">
        <x:v>802</x:v>
      </x:c>
    </x:row>
    <x:row r="9" ht="15" hidden="0">
      <x:c r="A9" s="9" t="s">
        <x:v>806</x:v>
      </x:c>
      <x:c r="B9" s="9" t="s">
        <x:v>802</x:v>
      </x:c>
      <x:c r="C9" s="9" t="s">
        <x:v>799</x:v>
      </x:c>
      <x:c r="D9" s="9" t="s">
        <x:v>799</x:v>
      </x:c>
      <x:c r="E9" s="9" t="s">
        <x:v>799</x:v>
      </x:c>
    </x:row>
    <x:row r="10" ht="15" hidden="0">
      <x:c r="A10" s="10" t="s">
        <x:v>807</x:v>
      </x:c>
      <x:c r="B10" s="10" t="s">
        <x:v>802</x:v>
      </x:c>
      <x:c r="C10" s="10" t="s">
        <x:v>799</x:v>
      </x:c>
      <x:c r="D10" s="10" t="s">
        <x:v>799</x:v>
      </x:c>
      <x:c r="E10" s="10" t="s">
        <x:v>799</x:v>
      </x:c>
    </x:row>
    <x:row r="11" ht="15" hidden="0">
      <x:c r="A11" s="9" t="s">
        <x:v>808</x:v>
      </x:c>
      <x:c r="B11" s="9" t="s">
        <x:v>802</x:v>
      </x:c>
      <x:c r="C11" s="9" t="s">
        <x:v>802</x:v>
      </x:c>
      <x:c r="D11" s="9" t="s">
        <x:v>799</x:v>
      </x:c>
      <x:c r="E11" s="9" t="s">
        <x:v>799</x:v>
      </x:c>
    </x:row>
    <x:row r="12" ht="15" hidden="0">
      <x:c r="A12" s="10" t="s">
        <x:v>809</x:v>
      </x:c>
      <x:c r="B12" s="10" t="s">
        <x:v>802</x:v>
      </x:c>
      <x:c r="C12" s="10" t="s">
        <x:v>802</x:v>
      </x:c>
      <x:c r="D12" s="10" t="s">
        <x:v>799</x:v>
      </x:c>
      <x:c r="E12" s="10" t="s">
        <x:v>799</x:v>
      </x:c>
    </x:row>
    <x:row r="13" ht="15" hidden="0">
      <x:c r="A13" s="9" t="s">
        <x:v>810</x:v>
      </x:c>
      <x:c r="B13" s="9" t="s">
        <x:v>802</x:v>
      </x:c>
      <x:c r="C13" s="9" t="s">
        <x:v>802</x:v>
      </x:c>
      <x:c r="D13" s="9" t="s">
        <x:v>799</x:v>
      </x:c>
      <x:c r="E13" s="9" t="s">
        <x:v>799</x:v>
      </x:c>
    </x:row>
    <x:row r="14" ht="15" hidden="0">
      <x:c r="A14" s="10" t="s">
        <x:v>811</x:v>
      </x:c>
      <x:c r="B14" s="10" t="s">
        <x:v>802</x:v>
      </x:c>
      <x:c r="C14" s="10" t="s">
        <x:v>802</x:v>
      </x:c>
      <x:c r="D14" s="10" t="s">
        <x:v>799</x:v>
      </x:c>
      <x:c r="E14" s="10" t="s">
        <x:v>799</x:v>
      </x:c>
    </x:row>
    <x:row r="15" ht="15" hidden="0">
      <x:c r="A15" s="9" t="s">
        <x:v>812</x:v>
      </x:c>
      <x:c r="B15" s="9" t="s">
        <x:v>802</x:v>
      </x:c>
      <x:c r="C15" s="9" t="s">
        <x:v>802</x:v>
      </x:c>
      <x:c r="D15" s="9" t="s">
        <x:v>802</x:v>
      </x:c>
      <x:c r="E15" s="9" t="s">
        <x:v>799</x:v>
      </x:c>
    </x:row>
    <x:row r="16" ht="15" hidden="0">
      <x:c r="A16" s="10" t="s">
        <x:v>813</x:v>
      </x:c>
      <x:c r="B16" s="10" t="s">
        <x:v>802</x:v>
      </x:c>
      <x:c r="C16" s="10" t="s">
        <x:v>802</x:v>
      </x:c>
      <x:c r="D16" s="10" t="s">
        <x:v>802</x:v>
      </x:c>
      <x:c r="E16" s="10" t="s">
        <x:v>799</x:v>
      </x:c>
    </x:row>
    <x:row r="17" ht="15" hidden="0">
      <x:c r="A17" s="9" t="s">
        <x:v>814</x:v>
      </x:c>
      <x:c r="B17" s="9" t="s">
        <x:v>802</x:v>
      </x:c>
      <x:c r="C17" s="9" t="s">
        <x:v>802</x:v>
      </x:c>
      <x:c r="D17" s="9" t="s">
        <x:v>802</x:v>
      </x:c>
      <x:c r="E17" s="9" t="s">
        <x:v>802</x:v>
      </x:c>
    </x:row>
  </x:sheetData>
  <x:mergeCells>
    <x:mergeCell ref="A1:E1"/>
  </x:mergeCells>
  <x:pageMargins left="0.7" right="0.7" top="0.75" bottom="0.75" header="0.3" footer="0.3"/>
</x:worksheet>
</file>

<file path=xl/worksheets/sheet15.xml><?xml version="1.0" encoding="utf-8"?>
<x:worksheet xmlns:x="http://schemas.openxmlformats.org/spreadsheetml/2006/main">
  <x:sheetViews>
    <x:sheetView showGridLines="1" workbookViewId="0"/>
  </x:sheetViews>
  <x:sheetFormatPr defaultColWidth="8.6796875" defaultRowHeight="15"/>
  <x:cols>
    <x:col min="1" max="1" width="26" hidden="0" customWidth="1"/>
    <x:col min="2" max="2" width="130" hidden="0" customWidth="1"/>
  </x:cols>
  <x:sheetData>
    <x:row r="1" ht="25.5" hidden="0" customHeight="1">
      <x:c r="A1" s="7" t="s">
        <x:v>815</x:v>
      </x:c>
      <x:c r="B1" s="7"/>
    </x:row>
    <x:row r="2" ht="30" hidden="0" customHeight="1">
      <x:c r="A2" s="8" t="s">
        <x:v>816</x:v>
      </x:c>
      <x:c r="B2" s="8" t="s">
        <x:v>817</x:v>
      </x:c>
    </x:row>
    <x:row r="3" ht="23.850000381469727" hidden="0">
      <x:c r="A3" s="9" t="s">
        <x:v>818</x:v>
      </x:c>
      <x:c r="B3" s="9" t="s">
        <x:v>819</x:v>
      </x:c>
    </x:row>
    <x:row r="4" ht="23.850000381469727" hidden="0">
      <x:c r="A4" s="10" t="s">
        <x:v>820</x:v>
      </x:c>
      <x:c r="B4" s="10" t="s">
        <x:v>821</x:v>
      </x:c>
    </x:row>
    <x:row r="5" ht="15" hidden="0">
      <x:c r="A5" s="9" t="s">
        <x:v>822</x:v>
      </x:c>
      <x:c r="B5" s="9" t="s">
        <x:v>823</x:v>
      </x:c>
    </x:row>
    <x:row r="6" ht="23.850000381469727" hidden="0">
      <x:c r="A6" s="10" t="s">
        <x:v>824</x:v>
      </x:c>
      <x:c r="B6" s="10" t="s">
        <x:v>825</x:v>
      </x:c>
    </x:row>
    <x:row r="7" ht="23.850000381469727" hidden="0">
      <x:c r="A7" s="9" t="s">
        <x:v>826</x:v>
      </x:c>
      <x:c r="B7" s="9" t="s">
        <x:v>827</x:v>
      </x:c>
    </x:row>
    <x:row r="8" ht="23.850000381469727" hidden="0">
      <x:c r="A8" s="10" t="s">
        <x:v>828</x:v>
      </x:c>
      <x:c r="B8" s="10" t="s">
        <x:v>829</x:v>
      </x:c>
    </x:row>
    <x:row r="9" ht="23.850000381469727" hidden="0">
      <x:c r="A9" s="9" t="s">
        <x:v>830</x:v>
      </x:c>
      <x:c r="B9" s="9" t="s">
        <x:v>831</x:v>
      </x:c>
    </x:row>
    <x:row r="10" ht="15" hidden="0">
      <x:c r="A10" s="10" t="s">
        <x:v>832</x:v>
      </x:c>
      <x:c r="B10" s="10" t="s">
        <x:v>833</x:v>
      </x:c>
    </x:row>
    <x:row r="11" ht="23.850000381469727" hidden="0">
      <x:c r="A11" s="9" t="s">
        <x:v>834</x:v>
      </x:c>
      <x:c r="B11" s="9" t="s">
        <x:v>835</x:v>
      </x:c>
    </x:row>
    <x:row r="12" ht="23.850000381469727" hidden="0">
      <x:c r="A12" s="10" t="s">
        <x:v>836</x:v>
      </x:c>
      <x:c r="B12" s="10" t="s">
        <x:v>837</x:v>
      </x:c>
    </x:row>
    <x:row r="13" ht="23.850000381469727" hidden="0">
      <x:c r="A13" s="9" t="s">
        <x:v>838</x:v>
      </x:c>
      <x:c r="B13" s="9" t="s">
        <x:v>839</x:v>
      </x:c>
    </x:row>
    <x:row r="14" ht="23.850000381469727" hidden="0">
      <x:c r="A14" s="10" t="s">
        <x:v>840</x:v>
      </x:c>
      <x:c r="B14" s="10" t="s">
        <x:v>841</x:v>
      </x:c>
    </x:row>
  </x:sheetData>
  <x:mergeCells>
    <x:mergeCell ref="A1:B1"/>
  </x:mergeCells>
  <x:pageMargins left="0.7" right="0.7" top="0.75" bottom="0.75" header="0.3" footer="0.3"/>
</x:worksheet>
</file>

<file path=xl/worksheets/sheet16.xml><?xml version="1.0" encoding="utf-8"?>
<x:worksheet xmlns:x="http://schemas.openxmlformats.org/spreadsheetml/2006/main">
  <x:sheetViews>
    <x:sheetView showGridLines="1" workbookViewId="0"/>
  </x:sheetViews>
  <x:sheetFormatPr defaultColWidth="8.6796875" defaultRowHeight="15"/>
  <x:cols>
    <x:col min="1" max="1" width="26" hidden="0" customWidth="1"/>
    <x:col min="2" max="2" width="96" hidden="0" customWidth="1"/>
    <x:col min="3" max="3" width="40" hidden="0" customWidth="1"/>
  </x:cols>
  <x:sheetData>
    <x:row r="1" ht="25.5" hidden="0" customHeight="1">
      <x:c r="A1" s="7" t="s">
        <x:v>842</x:v>
      </x:c>
      <x:c r="B1" s="7"/>
      <x:c r="C1" s="7"/>
    </x:row>
    <x:row r="2" ht="30" hidden="0" customHeight="1">
      <x:c r="A2" s="8" t="s">
        <x:v>843</x:v>
      </x:c>
      <x:c r="B2" s="8" t="s">
        <x:v>844</x:v>
      </x:c>
      <x:c r="C2" s="8" t="s">
        <x:v>845</x:v>
      </x:c>
    </x:row>
    <x:row r="3" ht="23.850000381469727" hidden="0">
      <x:c r="A3" s="9" t="s">
        <x:v>846</x:v>
      </x:c>
      <x:c r="B3" s="9" t="s">
        <x:v>847</x:v>
      </x:c>
      <x:c r="C3" s="9" t="s">
        <x:v>848</x:v>
      </x:c>
    </x:row>
    <x:row r="4" ht="15" hidden="0">
      <x:c r="A4" s="10" t="s">
        <x:v>849</x:v>
      </x:c>
      <x:c r="B4" s="10" t="s">
        <x:v>850</x:v>
      </x:c>
      <x:c r="C4" s="10" t="s">
        <x:v>851</x:v>
      </x:c>
    </x:row>
    <x:row r="5" ht="15" hidden="0">
      <x:c r="A5" s="9" t="s">
        <x:v>852</x:v>
      </x:c>
      <x:c r="B5" s="9" t="s">
        <x:v>853</x:v>
      </x:c>
      <x:c r="C5" s="9" t="s">
        <x:v>854</x:v>
      </x:c>
    </x:row>
    <x:row r="6" ht="15" hidden="0">
      <x:c r="A6" s="10" t="s">
        <x:v>855</x:v>
      </x:c>
      <x:c r="B6" s="10" t="s">
        <x:v>856</x:v>
      </x:c>
      <x:c r="C6" s="10" t="s">
        <x:v>857</x:v>
      </x:c>
    </x:row>
    <x:row r="7" ht="15" hidden="0">
      <x:c r="A7" s="9" t="s">
        <x:v>858</x:v>
      </x:c>
      <x:c r="B7" s="9" t="s">
        <x:v>859</x:v>
      </x:c>
      <x:c r="C7" s="9" t="s">
        <x:v>860</x:v>
      </x:c>
    </x:row>
    <x:row r="8" ht="15" hidden="0">
      <x:c r="A8" s="10" t="s">
        <x:v>861</x:v>
      </x:c>
      <x:c r="B8" s="10" t="s">
        <x:v>862</x:v>
      </x:c>
      <x:c r="C8" s="10" t="s">
        <x:v>863</x:v>
      </x:c>
    </x:row>
    <x:row r="9" ht="15" hidden="0">
      <x:c r="A9" s="9" t="s">
        <x:v>864</x:v>
      </x:c>
      <x:c r="B9" s="9" t="s">
        <x:v>865</x:v>
      </x:c>
      <x:c r="C9" s="9" t="s">
        <x:v>866</x:v>
      </x:c>
    </x:row>
    <x:row r="10" ht="23.850000381469727" hidden="0">
      <x:c r="A10" s="10" t="s">
        <x:v>867</x:v>
      </x:c>
      <x:c r="B10" s="10" t="s">
        <x:v>868</x:v>
      </x:c>
      <x:c r="C10" s="10" t="s">
        <x:v>869</x:v>
      </x:c>
    </x:row>
    <x:row r="11" ht="23.850000381469727" hidden="0">
      <x:c r="A11" s="9" t="s">
        <x:v>870</x:v>
      </x:c>
      <x:c r="B11" s="9" t="s">
        <x:v>871</x:v>
      </x:c>
      <x:c r="C11" s="9" t="s">
        <x:v>872</x:v>
      </x:c>
    </x:row>
    <x:row r="12" ht="35.04999923706055" hidden="0">
      <x:c r="A12" s="10" t="s">
        <x:v>873</x:v>
      </x:c>
      <x:c r="B12" s="10" t="s">
        <x:v>874</x:v>
      </x:c>
      <x:c r="C12" s="10" t="s">
        <x:v>875</x:v>
      </x:c>
    </x:row>
    <x:row r="13" ht="15" hidden="0">
      <x:c r="A13" s="9" t="s">
        <x:v>876</x:v>
      </x:c>
      <x:c r="B13" s="9" t="s">
        <x:v>877</x:v>
      </x:c>
      <x:c r="C13" s="9" t="s">
        <x:v>878</x:v>
      </x:c>
    </x:row>
    <x:row r="14" ht="23.850000381469727" hidden="0">
      <x:c r="A14" s="10" t="s">
        <x:v>879</x:v>
      </x:c>
      <x:c r="B14" s="10" t="s">
        <x:v>880</x:v>
      </x:c>
      <x:c r="C14" s="10" t="s">
        <x:v>881</x:v>
      </x:c>
    </x:row>
  </x:sheetData>
  <x:mergeCells>
    <x:mergeCell ref="A1:C1"/>
  </x:mergeCells>
  <x:pageMargins left="0.7" right="0.7" top="0.75" bottom="0.75" header="0.3" footer="0.3"/>
</x:worksheet>
</file>

<file path=xl/worksheets/sheet17.xml><?xml version="1.0" encoding="utf-8"?>
<x:worksheet xmlns:x="http://schemas.openxmlformats.org/spreadsheetml/2006/main">
  <x:sheetViews>
    <x:sheetView showGridLines="1" workbookViewId="0"/>
  </x:sheetViews>
  <x:sheetFormatPr defaultColWidth="8.6796875" defaultRowHeight="15"/>
  <x:cols>
    <x:col min="1" max="1" width="40" hidden="0" customWidth="1"/>
    <x:col min="2" max="2" width="66" hidden="0" customWidth="1"/>
  </x:cols>
  <x:sheetData>
    <x:row r="1" ht="25.5" hidden="0" customHeight="1">
      <x:c r="A1" s="7" t="s">
        <x:v>882</x:v>
      </x:c>
      <x:c r="B1" s="7"/>
    </x:row>
    <x:row r="2" ht="30" hidden="0" customHeight="1">
      <x:c r="A2" s="8" t="s">
        <x:v>883</x:v>
      </x:c>
      <x:c r="B2" s="8" t="s">
        <x:v>884</x:v>
      </x:c>
    </x:row>
    <x:row r="3" ht="15" hidden="0">
      <x:c r="A3" s="9" t="s">
        <x:v>885</x:v>
      </x:c>
      <x:c r="B3" s="9" t="s">
        <x:v>886</x:v>
      </x:c>
    </x:row>
    <x:row r="4" ht="15" hidden="0">
      <x:c r="A4" s="10" t="s">
        <x:v>887</x:v>
      </x:c>
      <x:c r="B4" s="10" t="s">
        <x:v>888</x:v>
      </x:c>
    </x:row>
    <x:row r="5" ht="15" hidden="0">
      <x:c r="A5" s="9" t="s">
        <x:v>889</x:v>
      </x:c>
      <x:c r="B5" s="9" t="s">
        <x:v>890</x:v>
      </x:c>
    </x:row>
    <x:row r="6" ht="15" hidden="0">
      <x:c r="A6" s="10" t="s">
        <x:v>3</x:v>
      </x:c>
      <x:c r="B6" s="10" t="s">
        <x:v>891</x:v>
      </x:c>
    </x:row>
    <x:row r="7" ht="15" hidden="0">
      <x:c r="A7" s="9" t="s">
        <x:v>710</x:v>
      </x:c>
      <x:c r="B7" s="12" t="s">
        <x:v>892</x:v>
      </x:c>
    </x:row>
    <x:row r="8" ht="15" hidden="0">
      <x:c r="A8" s="10" t="s">
        <x:v>893</x:v>
      </x:c>
      <x:c r="B8" s="10" t="s">
        <x:v>894</x:v>
      </x:c>
    </x:row>
    <x:row r="9" ht="15" hidden="0">
      <x:c r="A9" s="9" t="s">
        <x:v>895</x:v>
      </x:c>
      <x:c r="B9" s="9" t="s">
        <x:v>894</x:v>
      </x:c>
    </x:row>
    <x:row r="10" ht="15" hidden="0">
      <x:c r="A10" s="10" t="s">
        <x:v>896</x:v>
      </x:c>
      <x:c r="B10" s="10" t="s">
        <x:v>894</x:v>
      </x:c>
    </x:row>
    <x:row r="11" ht="15" hidden="0">
      <x:c r="A11" s="9" t="s">
        <x:v>897</x:v>
      </x:c>
      <x:c r="B11" s="9" t="s">
        <x:v>894</x:v>
      </x:c>
    </x:row>
    <x:row r="12" ht="15" hidden="0">
      <x:c r="A12" s="10" t="s">
        <x:v>898</x:v>
      </x:c>
      <x:c r="B12" s="10" t="s">
        <x:v>894</x:v>
      </x:c>
    </x:row>
    <x:row r="13" ht="15" hidden="0">
      <x:c r="A13" s="9" t="s">
        <x:v>899</x:v>
      </x:c>
      <x:c r="B13" s="9" t="s">
        <x:v>894</x:v>
      </x:c>
    </x:row>
    <x:row r="14" ht="15" hidden="0">
      <x:c r="A14" s="10" t="s">
        <x:v>900</x:v>
      </x:c>
      <x:c r="B14" s="10" t="s">
        <x:v>901</x:v>
      </x:c>
    </x:row>
    <x:row r="15" ht="15" hidden="0">
      <x:c r="A15" s="9" t="s">
        <x:v>902</x:v>
      </x:c>
      <x:c r="B15" s="12" t="s">
        <x:v>903</x:v>
      </x:c>
    </x:row>
    <x:row r="16" ht="15" hidden="0">
      <x:c r="A16" s="10" t="s">
        <x:v>904</x:v>
      </x:c>
      <x:c r="B16" s="10" t="s">
        <x:v>905</x:v>
      </x:c>
    </x:row>
    <x:row r="17" ht="15" hidden="0">
      <x:c r="A17" s="9" t="s">
        <x:v>906</x:v>
      </x:c>
      <x:c r="B17" s="9" t="s">
        <x:v>905</x:v>
      </x:c>
    </x:row>
    <x:row r="18" ht="15" hidden="0">
      <x:c r="A18" s="10" t="s">
        <x:v>907</x:v>
      </x:c>
      <x:c r="B18" s="10" t="s">
        <x:v>905</x:v>
      </x:c>
    </x:row>
    <x:row r="19" ht="15" hidden="0">
      <x:c r="A19" s="9" t="s">
        <x:v>908</x:v>
      </x:c>
      <x:c r="B19" s="12" t="s">
        <x:v>903</x:v>
      </x:c>
    </x:row>
  </x:sheetData>
  <x:mergeCells>
    <x:mergeCell ref="A1:B1"/>
  </x:mergeCells>
  <x:pageMargins left="0.7" right="0.7" top="0.75" bottom="0.75" header="0.3" footer="0.3"/>
</x:worksheet>
</file>

<file path=xl/worksheets/sheet18.xml><?xml version="1.0" encoding="utf-8"?>
<x:worksheet xmlns:x="http://schemas.openxmlformats.org/spreadsheetml/2006/main">
  <x:sheetFormatPr defaultRowHeight="15"/>
  <x:cols>
    <x:col min="1" max="1" width="12" hidden="0" customWidth="1"/>
    <x:col min="2" max="2" width="28" hidden="0" customWidth="1"/>
    <x:col min="3" max="3" width="32" hidden="0" customWidth="1"/>
    <x:col min="4" max="4" width="38" hidden="0" customWidth="1"/>
    <x:col min="5" max="5" width="26" hidden="0" customWidth="1"/>
    <x:col min="6" max="6" width="38" hidden="0" customWidth="1"/>
    <x:col min="7" max="7" width="18" hidden="0" customWidth="1"/>
    <x:col min="8" max="8" width="24" hidden="0" customWidth="1"/>
  </x:cols>
  <x:sheetData>
    <x:row r="1" ht="28" hidden="0" customHeight="1">
      <x:c r="A1" s="35" t="str">
        <x:v>Technical Debt Register (M3 brief s4 and s12). Debt is explicit work accepted temporarily, with an owner and planned action.</x:v>
      </x:c>
      <x:c r="B1" s="35"/>
      <x:c r="C1" s="35"/>
      <x:c r="D1" s="35"/>
      <x:c r="E1" s="35"/>
      <x:c r="F1" s="35"/>
      <x:c r="G1" s="35"/>
      <x:c r="H1" s="35"/>
    </x:row>
    <x:row r="2" ht="30" hidden="0" customHeight="1">
      <x:c r="A2" s="47" t="str">
        <x:v>ID</x:v>
      </x:c>
      <x:c r="B2" s="48" t="str">
        <x:v>Item</x:v>
      </x:c>
      <x:c r="C2" s="48" t="str">
        <x:v>Cause</x:v>
      </x:c>
      <x:c r="D2" s="48" t="str">
        <x:v>Consequence if left</x:v>
      </x:c>
      <x:c r="E2" s="48" t="str">
        <x:v>Related risk or ADR</x:v>
      </x:c>
      <x:c r="F2" s="48" t="str">
        <x:v>Planned action</x:v>
      </x:c>
      <x:c r="G2" s="48" t="str">
        <x:v>Owner</x:v>
      </x:c>
      <x:c r="H2" s="49" t="str">
        <x:v>Status</x:v>
      </x:c>
    </x:row>
    <x:row r="3" ht="52.79999923706055" hidden="0" customHeight="1">
      <x:c r="A3" s="78" t="str">
        <x:v>TD-001</x:v>
      </x:c>
      <x:c r="B3" s="79" t="str">
        <x:v>Controlled fixture re-export is still partly manual.</x:v>
      </x:c>
      <x:c r="C3" s="79" t="str">
        <x:v>Status Model and Access Matrix fixtures are exported from the workbook, but controlled register changes can land without an automated CI freshness check.</x:v>
      </x:c>
      <x:c r="D3" s="79" t="str">
        <x:v>Tests can validate stale fixtures and silently stop representing the controlled registers.</x:v>
      </x:c>
      <x:c r="E3" s="79" t="str">
        <x:v>RSK-16; ADR-005; ADR-006</x:v>
      </x:c>
      <x:c r="F3" s="79" t="str">
        <x:v>Use the exporter/check added with #136 and wire `--check` into #110 so a PR fails when fixtures differ from the workbook.</x:v>
      </x:c>
      <x:c r="G3" s="79" t="str">
        <x:v>Darius Mushi</x:v>
      </x:c>
      <x:c r="H3" s="80" t="str">
        <x:v>Open - M3</x:v>
      </x:c>
    </x:row>
    <x:row r="4" ht="39.599998474121094" hidden="0" customHeight="1">
      <x:c r="A4" s="113" t="str">
        <x:v>TD-002</x:v>
      </x:c>
      <x:c r="B4" s="114" t="str">
        <x:v>Production database and durable hosting database are deferred.</x:v>
      </x:c>
      <x:c r="C4" s="114" t="str">
        <x:v>M2 selected the application stack before the assessed production database/hosting path is fully exercised under DEC-010.</x:v>
      </x:c>
      <x:c r="D4" s="114" t="str">
        <x:v>Backups, restore behaviour, durability and environment parity remain assumptions until deployment evidence exists.</x:v>
      </x:c>
      <x:c r="E4" s="114" t="str">
        <x:v>ADR-007; DEC-010; RSK-02; RSK-20</x:v>
      </x:c>
      <x:c r="F4" s="114" t="str">
        <x:v>Complete the deployment decision and run migration, backup/restore and environment-parity checks before production release.</x:v>
      </x:c>
      <x:c r="G4" s="114" t="str">
        <x:v>Darius Mushi</x:v>
      </x:c>
      <x:c r="H4" s="115" t="str">
        <x:v>Deferred - accepted for M3</x:v>
      </x:c>
    </x:row>
    <x:row r="5" ht="52.79999923706055" hidden="0" customHeight="1">
      <x:c r="A5" s="81" t="str">
        <x:v>TD-003</x:v>
      </x:c>
      <x:c r="B5" s="82" t="str">
        <x:v>Prisma transitive-dependency advisory overrides are temporary.</x:v>
      </x:c>
      <x:c r="C5" s="82" t="str">
        <x:v>Prisma 7.10.0 pins vulnerable transitive versions, so #90 uses package overrides while waiting for an upstream Prisma release.</x:v>
      </x:c>
      <x:c r="D5" s="82" t="str">
        <x:v>Overrides can diverge from the upstream dependency graph, break future Prisma updates or hide continued exposure.</x:v>
      </x:c>
      <x:c r="E5" s="82" t="str">
        <x:v>RSK-12; ADR-002</x:v>
      </x:c>
      <x:c r="F5" s="82" t="str">
        <x:v>Keep the controlled overrides and npm-audit gate; remove the overrides only when a Prisma 7 release fixes the affected dependencies, then rerun clean install and tests.</x:v>
      </x:c>
      <x:c r="G5" s="82" t="str">
        <x:v>Darius Mushi</x:v>
      </x:c>
      <x:c r="H5" s="83" t="str">
        <x:v>Materialised - mitigated; temporary</x:v>
      </x:c>
    </x:row>
    <x:row r="6" ht="52.79999923706055" hidden="0" customHeight="1">
      <x:c r="A6" s="119" t="str">
        <x:v>TD-004</x:v>
      </x:c>
      <x:c r="B6" s="120" t="str">
        <x:v>Password reset is Manager-assisted rather than a full self-service recovery flow.</x:v>
      </x:c>
      <x:c r="C6" s="120" t="str">
        <x:v>The M3 scope uses a Manager-issued one-time reset/setup code so secure recovery can be delivered without adding email/SMS infrastructure.</x:v>
      </x:c>
      <x:c r="D6" s="120" t="str">
        <x:v>Operational support is required for reset requests and the approach does not scale like an external verified recovery channel.</x:v>
      </x:c>
      <x:c r="E6" s="120" t="str">
        <x:v>FR-004; ADR-002; RSK-24</x:v>
      </x:c>
      <x:c r="F6" s="120" t="str">
        <x:v>Keep the Manager-assisted flow for the assessed scope; revisit self-service delivery only through a controlled interface/deployment decision with secrets, expiry, retry and abuse controls.</x:v>
      </x:c>
      <x:c r="G6" s="120" t="str">
        <x:v>Darius Mushi</x:v>
      </x:c>
      <x:c r="H6" s="121" t="str">
        <x:v>Accepted M3 debt</x:v>
      </x:c>
    </x:row>
  </x:sheetData>
  <x:mergeCells>
    <x:mergeCell ref="A1:H1"/>
  </x:mergeCells>
  <x:pageMargins left="0.7" right="0.7" top="0.75" bottom="0.75" header="0.3" footer="0.3"/>
</x:worksheet>
</file>

<file path=xl/worksheets/sheet19.xml><?xml version="1.0" encoding="utf-8"?>
<x:worksheet xmlns:x="http://schemas.openxmlformats.org/spreadsheetml/2006/main">
  <x:sheetFormatPr defaultRowHeight="15"/>
  <x:cols>
    <x:col min="1" max="1" width="12" hidden="0" customWidth="1"/>
    <x:col min="2" max="2" width="28" hidden="0" customWidth="1"/>
    <x:col min="3" max="3" width="32" hidden="0" customWidth="1"/>
    <x:col min="4" max="4" width="38" hidden="0" customWidth="1"/>
    <x:col min="5" max="5" width="26" hidden="0" customWidth="1"/>
    <x:col min="6" max="6" width="38" hidden="0" customWidth="1"/>
    <x:col min="7" max="7" width="18" hidden="0" customWidth="1"/>
    <x:col min="8" max="8" width="24" hidden="0" customWidth="1"/>
  </x:cols>
  <x:sheetData>
    <x:row r="1" ht="28" hidden="0" customHeight="1">
      <x:c r="A1" s="35" t="str">
        <x:v>Defect Register (M3 brief s4 and s12). Defects are observed mismatches or failures, kept separate from accepted technical debt.</x:v>
      </x:c>
      <x:c r="B1" s="35"/>
      <x:c r="C1" s="35"/>
      <x:c r="D1" s="35"/>
      <x:c r="E1" s="35"/>
      <x:c r="F1" s="35"/>
      <x:c r="G1" s="35"/>
      <x:c r="H1" s="35"/>
    </x:row>
    <x:row r="2" ht="30" hidden="0" customHeight="1">
      <x:c r="A2" s="47" t="str">
        <x:v>ID</x:v>
      </x:c>
      <x:c r="B2" s="48" t="str">
        <x:v>Defect</x:v>
      </x:c>
      <x:c r="C2" s="48" t="str">
        <x:v>Found by</x:v>
      </x:c>
      <x:c r="D2" s="48" t="str">
        <x:v>Related requirement or test</x:v>
      </x:c>
      <x:c r="E2" s="48" t="str">
        <x:v>Severity and impact</x:v>
      </x:c>
      <x:c r="F2" s="48" t="str">
        <x:v>Status</x:v>
      </x:c>
      <x:c r="G2" s="48" t="str">
        <x:v>Fix PR</x:v>
      </x:c>
      <x:c r="H2" s="49" t="str">
        <x:v>Regression test</x:v>
      </x:c>
    </x:row>
    <x:row r="3" ht="66" hidden="0" customHeight="1">
      <x:c r="A3" s="78" t="str">
        <x:v>DEF-001</x:v>
      </x:c>
      <x:c r="B3" s="79" t="str">
        <x:v>The ADR-007 User model originally omitted `passwordHash`, so the controlled persistence model could not store the Argon2 password hash required by sign-in.</x:v>
      </x:c>
      <x:c r="C3" s="79" t="str">
        <x:v>Jean Smit review of #109</x:v>
      </x:c>
      <x:c r="D3" s="79" t="str">
        <x:v>FR-001; NFR-004; #109</x:v>
      </x:c>
      <x:c r="E3" s="79" t="str">
        <x:v>High - blocks secure persisted authentication and could cause an implementation to invent an uncontrolled credential field.</x:v>
      </x:c>
      <x:c r="F3" s="79" t="str">
        <x:v>Fix prepared; pending merge</x:v>
      </x:c>
      <x:c r="G3" s="79" t="str">
        <x:v>#140 / #109</x:v>
      </x:c>
      <x:c r="H3" s="80" t="str">
        <x:v>Schema contains required `passwordHash`; seed uses `argon2.hash`; sign-in test accepts the right password and rejects a wrong one.</x:v>
      </x:c>
    </x:row>
    <x:row r="4" ht="66" hidden="0" customHeight="1">
      <x:c r="A4" s="113" t="str">
        <x:v>DEF-002</x:v>
      </x:c>
      <x:c r="B4" s="114" t="str">
        <x:v>Access Matrix grants Manager permission to assign a request although FR-016 permits assignment/reassignment only to the Coordinator.</x:v>
      </x:c>
      <x:c r="C4" s="114" t="str">
        <x:v>ADR-006 generated negative tests / CR-002</x:v>
      </x:c>
      <x:c r="D4" s="114" t="str">
        <x:v>FR-002; FR-016; NFR-005</x:v>
      </x:c>
      <x:c r="E4" s="114" t="str">
        <x:v>High - a server implemented from the incorrect matrix could grant an unauthorised workflow action.</x:v>
      </x:c>
      <x:c r="F4" s="114" t="str">
        <x:v>Approved correction; pending controlled workbook merge</x:v>
      </x:c>
      <x:c r="G4" s="114" t="str">
        <x:v>#136 / #92</x:v>
      </x:c>
      <x:c r="H4" s="115" t="str">
        <x:v>Matrix fixture and ADR-006 negative test assert Manager `assignRequest` = denied.</x:v>
      </x:c>
    </x:row>
    <x:row r="5" ht="52.79999923706055" hidden="0" customHeight="1">
      <x:c r="A5" s="81" t="str">
        <x:v>DEF-003</x:v>
      </x:c>
      <x:c r="B5" s="82" t="str">
        <x:v>Access Matrix grants Coordinator permission to accept an unassigned request although FR-015/FR-016 reserve that transition for Staff.</x:v>
      </x:c>
      <x:c r="C5" s="82" t="str">
        <x:v>ADR-006 generated negative tests / CR-002</x:v>
      </x:c>
      <x:c r="D5" s="82" t="str">
        <x:v>FR-002; FR-015; FR-016; NFR-005</x:v>
      </x:c>
      <x:c r="E5" s="82" t="str">
        <x:v>High - an incorrect grant conflicts with the authoritative status model and deny-by-default policy.</x:v>
      </x:c>
      <x:c r="F5" s="82" t="str">
        <x:v>Approved correction; pending controlled workbook merge</x:v>
      </x:c>
      <x:c r="G5" s="82" t="str">
        <x:v>#136 / #92</x:v>
      </x:c>
      <x:c r="H5" s="83" t="str">
        <x:v>Matrix fixture and ADR-006 negative test assert Coordinator `acceptRequest` = denied.</x:v>
      </x:c>
    </x:row>
    <x:row r="6" ht="52.79999923706055" hidden="0" customHeight="1">
      <x:c r="A6" s="113" t="str">
        <x:v>DEF-004</x:v>
      </x:c>
      <x:c r="B6" s="114" t="str">
        <x:v>Access Matrix grants Manager permission to reject a request although FR-016/FR-020 permit rejection only to the Coordinator.</x:v>
      </x:c>
      <x:c r="C6" s="114" t="str">
        <x:v>ADR-006 generated negative tests / CR-002</x:v>
      </x:c>
      <x:c r="D6" s="114" t="str">
        <x:v>FR-002; FR-016; FR-020; NFR-005</x:v>
      </x:c>
      <x:c r="E6" s="114" t="str">
        <x:v>High - an incorrect grant could allow an unauthorised terminal workflow action.</x:v>
      </x:c>
      <x:c r="F6" s="114" t="str">
        <x:v>Approved correction; pending controlled workbook merge</x:v>
      </x:c>
      <x:c r="G6" s="114" t="str">
        <x:v>#136 / #92</x:v>
      </x:c>
      <x:c r="H6" s="115" t="str">
        <x:v>Matrix fixture and ADR-006 negative test assert Manager `rejectRequest` = denied.</x:v>
      </x:c>
    </x:row>
    <x:row r="7" ht="52.79999923706055" hidden="0" customHeight="1">
      <x:c r="A7" s="84" t="str">
        <x:v>DEF-005</x:v>
      </x:c>
      <x:c r="B7" s="85" t="str">
        <x:v>Access Matrix grants Manager permission to set or change priority although FR-021 permits this only to the Coordinator.</x:v>
      </x:c>
      <x:c r="C7" s="85" t="str">
        <x:v>ADR-006 generated negative tests / CR-002</x:v>
      </x:c>
      <x:c r="D7" s="85" t="str">
        <x:v>FR-002; FR-021; NFR-005</x:v>
      </x:c>
      <x:c r="E7" s="85" t="str">
        <x:v>High - an incorrect grant could let a role change operational prioritisation without authority.</x:v>
      </x:c>
      <x:c r="F7" s="85" t="str">
        <x:v>Approved correction; pending controlled workbook merge</x:v>
      </x:c>
      <x:c r="G7" s="85" t="str">
        <x:v>#136 / #92</x:v>
      </x:c>
      <x:c r="H7" s="86" t="str">
        <x:v>Matrix fixture and ADR-006 negative test assert Manager `setPriority` = denied.</x:v>
      </x:c>
    </x:row>
  </x:sheetData>
  <x:mergeCells>
    <x:mergeCell ref="A1:H1"/>
  </x:mergeCells>
  <x:pageMargins left="0.7" right="0.7" top="0.75" bottom="0.75" header="0.3" footer="0.3"/>
</x:worksheet>
</file>

<file path=xl/worksheets/sheet20.xml><?xml version="1.0" encoding="utf-8"?>
<x:worksheet xmlns:x="http://schemas.openxmlformats.org/spreadsheetml/2006/main">
  <x:sheetFormatPr defaultRowHeight="15"/>
  <x:cols>
    <x:col min="1" max="1" width="12" hidden="0" customWidth="1"/>
    <x:col min="2" max="2" width="28" hidden="0" customWidth="1"/>
    <x:col min="3" max="3" width="32" hidden="0" customWidth="1"/>
    <x:col min="4" max="4" width="38" hidden="0" customWidth="1"/>
    <x:col min="5" max="5" width="26" hidden="0" customWidth="1"/>
    <x:col min="6" max="6" width="38" hidden="0" customWidth="1"/>
    <x:col min="7" max="7" width="18" hidden="0" customWidth="1"/>
    <x:col min="8" max="8" width="24" hidden="0" customWidth="1"/>
  </x:cols>
  <x:sheetData>
    <x:row r="1" ht="28" hidden="0" customHeight="1">
      <x:c r="A1" s="35" t="str">
        <x:v>NFR-008 personal-data inventory. Each stored personal or credential-related field is justified and checked against the Access Matrix and least-privilege rule.</x:v>
      </x:c>
      <x:c r="B1" s="35"/>
      <x:c r="C1" s="35"/>
      <x:c r="D1" s="35"/>
      <x:c r="E1" s="35"/>
      <x:c r="F1" s="35"/>
      <x:c r="G1" s="35"/>
      <x:c r="H1" s="35"/>
    </x:row>
    <x:row r="2" ht="30" hidden="0" customHeight="1">
      <x:c r="A2" s="47" t="str">
        <x:v>Entity</x:v>
      </x:c>
      <x:c r="B2" s="48" t="str">
        <x:v>Field</x:v>
      </x:c>
      <x:c r="C2" s="48" t="str">
        <x:v>Data type / sensitivity</x:v>
      </x:c>
      <x:c r="D2" s="48" t="str">
        <x:v>Why it is needed</x:v>
      </x:c>
      <x:c r="E2" s="48" t="str">
        <x:v>Roles that may read it</x:v>
      </x:c>
      <x:c r="F2" s="48" t="str">
        <x:v>Access Matrix / policy basis</x:v>
      </x:c>
      <x:c r="G2" s="48" t="str">
        <x:v>Minimisation / protection</x:v>
      </x:c>
      <x:c r="H2" s="49" t="str">
        <x:v>M3 check</x:v>
      </x:c>
    </x:row>
    <x:row r="3" ht="66" hidden="0" customHeight="1">
      <x:c r="A3" s="78" t="str">
        <x:v>User</x:v>
      </x:c>
      <x:c r="B3" s="79" t="str">
        <x:v>name</x:v>
      </x:c>
      <x:c r="C3" s="79" t="str">
        <x:v>Personal identifier</x:v>
      </x:c>
      <x:c r="D3" s="79" t="str">
        <x:v>Display the account holder/requester/staff identity in requests, assignments and administration.</x:v>
      </x:c>
      <x:c r="E3" s="79" t="str">
        <x:v>Self; Manager for account administration; authorised Staff/Coordinator/Manager where a request needs an assignee/requester name.</x:v>
      </x:c>
      <x:c r="F3" s="79" t="str">
        <x:v>View own requests; View requests in scope; Manage users.</x:v>
      </x:c>
      <x:c r="G3" s="79" t="str">
        <x:v>Store only the service name needed for identification; do not expose through unrelated endpoints.</x:v>
      </x:c>
      <x:c r="H3" s="80" t="str">
        <x:v>Required and justified.</x:v>
      </x:c>
    </x:row>
    <x:row r="4" ht="79.19999694824219" hidden="0" customHeight="1">
      <x:c r="A4" s="113" t="str">
        <x:v>User</x:v>
      </x:c>
      <x:c r="B4" s="114" t="str">
        <x:v>email</x:v>
      </x:c>
      <x:c r="C4" s="114" t="str">
        <x:v>Contact detail / account identifier</x:v>
      </x:c>
      <x:c r="D4" s="114" t="str">
        <x:v>Sign-in identifier and contact detail for account administration/reset.</x:v>
      </x:c>
      <x:c r="E4" s="114" t="str">
        <x:v>Self; Manager for account administration. Other roles should not receive it merely because they can view a request unless the endpoint explicitly needs it.</x:v>
      </x:c>
      <x:c r="F4" s="114" t="str">
        <x:v>View own requests; Manage users; least privilege under NFR-008.</x:v>
      </x:c>
      <x:c r="G4" s="114" t="str">
        <x:v>Unique; never log unnecessarily; do not include in queue/report responses that only need names.</x:v>
      </x:c>
      <x:c r="H4" s="115" t="str">
        <x:v>Required and justified.</x:v>
      </x:c>
    </x:row>
    <x:row r="5" ht="39.599998474121094" hidden="0" customHeight="1">
      <x:c r="A5" s="81" t="str">
        <x:v>User</x:v>
      </x:c>
      <x:c r="B5" s="82" t="str">
        <x:v>passwordHash</x:v>
      </x:c>
      <x:c r="C5" s="82" t="str">
        <x:v>Credential secret (derived)</x:v>
      </x:c>
      <x:c r="D5" s="82" t="str">
        <x:v>Verify passwords without storing plaintext or reversible credentials.</x:v>
      </x:c>
      <x:c r="E5" s="82" t="str">
        <x:v>No application role reads the value; authentication code only.</x:v>
      </x:c>
      <x:c r="F5" s="82" t="str">
        <x:v>NFR-004; no Access Matrix function grants credential viewing.</x:v>
      </x:c>
      <x:c r="G5" s="82" t="str">
        <x:v>Argon2 hash only; excluded from API responses and logs.</x:v>
      </x:c>
      <x:c r="H5" s="83" t="str">
        <x:v>Required security field; never user-visible.</x:v>
      </x:c>
    </x:row>
    <x:row r="6" ht="52.79999923706055" hidden="0" customHeight="1">
      <x:c r="A6" s="113" t="str">
        <x:v>User</x:v>
      </x:c>
      <x:c r="B6" s="114" t="str">
        <x:v>resetCodeHash</x:v>
      </x:c>
      <x:c r="C6" s="114" t="str">
        <x:v>Credential-recovery secret (derived)</x:v>
      </x:c>
      <x:c r="D6" s="114" t="str">
        <x:v>Validate a one-time setup/reset code without storing the code itself.</x:v>
      </x:c>
      <x:c r="E6" s="114" t="str">
        <x:v>No application role reads the stored hash; reset verification code only.</x:v>
      </x:c>
      <x:c r="F6" s="114" t="str">
        <x:v>FR-004; manage-users flow may issue a code, but the stored hash is not readable data.</x:v>
      </x:c>
      <x:c r="G6" s="114" t="str">
        <x:v>Hash only; nullable; clear/replace after successful use or expiry.</x:v>
      </x:c>
      <x:c r="H6" s="115" t="str">
        <x:v>Required for M3 reset flow.</x:v>
      </x:c>
    </x:row>
    <x:row r="7" ht="52.79999923706055" hidden="0" customHeight="1">
      <x:c r="A7" s="81" t="str">
        <x:v>User</x:v>
      </x:c>
      <x:c r="B7" s="82" t="str">
        <x:v>resetCodeExpiresAt</x:v>
      </x:c>
      <x:c r="C7" s="82" t="str">
        <x:v>Security metadata</x:v>
      </x:c>
      <x:c r="D7" s="82" t="str">
        <x:v>Expire one-time setup/reset codes.</x:v>
      </x:c>
      <x:c r="E7" s="82" t="str">
        <x:v>Reset/authentication code; Manager may receive the expiry time for a newly issued code, not unrestricted raw storage access.</x:v>
      </x:c>
      <x:c r="F7" s="82" t="str">
        <x:v>FR-004; Manage users.</x:v>
      </x:c>
      <x:c r="G7" s="82" t="str">
        <x:v>Store only the expiry timestamp needed to enforce code lifetime.</x:v>
      </x:c>
      <x:c r="H7" s="83" t="str">
        <x:v>Required for M3 reset flow.</x:v>
      </x:c>
    </x:row>
    <x:row r="8" ht="52.79999923706055" hidden="0" customHeight="1">
      <x:c r="A8" s="113" t="str">
        <x:v>Request</x:v>
      </x:c>
      <x:c r="B8" s="114" t="str">
        <x:v>title</x:v>
      </x:c>
      <x:c r="C8" s="114" t="str">
        <x:v>Request content; may contain personal information</x:v>
      </x:c>
      <x:c r="D8" s="114" t="str">
        <x:v>Short description used in requester history and staff queue.</x:v>
      </x:c>
      <x:c r="E8" s="114" t="str">
        <x:v>Requester for own request; Staff/Coordinator/Manager only for requests in authorised scope.</x:v>
      </x:c>
      <x:c r="F8" s="114" t="str">
        <x:v>View own requests; View requests in authorised categories.</x:v>
      </x:c>
      <x:c r="G8" s="114" t="str">
        <x:v>200-character limit; users should not place unnecessary personal data in the title.</x:v>
      </x:c>
      <x:c r="H8" s="115" t="str">
        <x:v>Required request content.</x:v>
      </x:c>
    </x:row>
    <x:row r="9" ht="79.19999694824219" hidden="0" customHeight="1">
      <x:c r="A9" s="81" t="str">
        <x:v>Request</x:v>
      </x:c>
      <x:c r="B9" s="82" t="str">
        <x:v>description</x:v>
      </x:c>
      <x:c r="C9" s="82" t="str">
        <x:v>Free-text request content; potentially sensitive</x:v>
      </x:c>
      <x:c r="D9" s="82" t="str">
        <x:v>Describe the civic service issue sufficiently for staff to act.</x:v>
      </x:c>
      <x:c r="E9" s="82" t="str">
        <x:v>Requester for own request; Staff/Coordinator/Manager only for requests in authorised scope.</x:v>
      </x:c>
      <x:c r="F9" s="82" t="str">
        <x:v>View own requests; View requests in authorised categories.</x:v>
      </x:c>
      <x:c r="G9" s="82" t="str">
        <x:v>Limit to service-relevant information; requester guidance should discourage unrelated sensitive information.</x:v>
      </x:c>
      <x:c r="H9" s="83" t="str">
        <x:v>Required request content; highest free-text privacy risk.</x:v>
      </x:c>
    </x:row>
    <x:row r="10" ht="66" hidden="0" customHeight="1">
      <x:c r="A10" s="113" t="str">
        <x:v>Request</x:v>
      </x:c>
      <x:c r="B10" s="114" t="str">
        <x:v>location</x:v>
      </x:c>
      <x:c r="C10" s="114" t="str">
        <x:v>Location information; may identify a person/place</x:v>
      </x:c>
      <x:c r="D10" s="114" t="str">
        <x:v>Tell staff where the reported issue is located.</x:v>
      </x:c>
      <x:c r="E10" s="114" t="str">
        <x:v>Requester for own request; Staff/Coordinator/Manager only for requests in authorised scope.</x:v>
      </x:c>
      <x:c r="F10" s="114" t="str">
        <x:v>View own requests; View requests in authorised categories.</x:v>
      </x:c>
      <x:c r="G10" s="114" t="str">
        <x:v>Store only the location needed to action the request; no background location collection.</x:v>
      </x:c>
      <x:c r="H10" s="115" t="str">
        <x:v>Required operational field.</x:v>
      </x:c>
    </x:row>
    <x:row r="11" ht="52.79999923706055" hidden="0" customHeight="1">
      <x:c r="A11" s="81" t="str">
        <x:v>Request</x:v>
      </x:c>
      <x:c r="B11" s="82" t="str">
        <x:v>reportedUrgency</x:v>
      </x:c>
      <x:c r="C11" s="82" t="str">
        <x:v>Requester-provided context</x:v>
      </x:c>
      <x:c r="D11" s="82" t="str">
        <x:v>Capture the requester's urgency without conflating it with staff priority.</x:v>
      </x:c>
      <x:c r="E11" s="82" t="str">
        <x:v>Requester for own request; Staff/Coordinator/Manager in authorised scope.</x:v>
      </x:c>
      <x:c r="F11" s="82" t="str">
        <x:v>View own requests; View requests in authorised categories.</x:v>
      </x:c>
      <x:c r="G11" s="82" t="str">
        <x:v>Restricted vocabulary Low/Medium/High; no additional personal data needed.</x:v>
      </x:c>
      <x:c r="H11" s="83" t="str">
        <x:v>Required by FR-005 / FR-021 separation.</x:v>
      </x:c>
    </x:row>
    <x:row r="12" ht="52.79999923706055" hidden="0" customHeight="1">
      <x:c r="A12" s="113" t="str">
        <x:v>Request</x:v>
      </x:c>
      <x:c r="B12" s="114" t="str">
        <x:v>resolutionSummary</x:v>
      </x:c>
      <x:c r="C12" s="114" t="str">
        <x:v>Request content; may contain personal information</x:v>
      </x:c>
      <x:c r="D12" s="114" t="str">
        <x:v>Record the outcome needed to resolve/close the request and explain it to authorised users.</x:v>
      </x:c>
      <x:c r="E12" s="114" t="str">
        <x:v>Requester for own request when requester-visible; Staff/Coordinator/Manager in authorised scope.</x:v>
      </x:c>
      <x:c r="F12" s="114" t="str">
        <x:v>View own requests; View requests in authorised categories.</x:v>
      </x:c>
      <x:c r="G12" s="114" t="str">
        <x:v>Keep the summary service-focused and avoid unnecessary personal details.</x:v>
      </x:c>
      <x:c r="H12" s="115" t="str">
        <x:v>Required only when a resolution is recorded.</x:v>
      </x:c>
    </x:row>
    <x:row r="13" ht="79.19999694824219" hidden="0" customHeight="1">
      <x:c r="A13" s="81" t="str">
        <x:v>ActionEntry</x:v>
      </x:c>
      <x:c r="B13" s="82" t="str">
        <x:v>body</x:v>
      </x:c>
      <x:c r="C13" s="82" t="str">
        <x:v>Free-text operational/requester communication; potentially sensitive</x:v>
      </x:c>
      <x:c r="D13" s="82" t="str">
        <x:v>Record staff work notes or requester-visible updates.</x:v>
      </x:c>
      <x:c r="E13" s="82" t="str">
        <x:v>Requester only when visibility = requester-visible and the request is theirs; Staff/Coordinator/Manager in authorised scope may read internal entries.</x:v>
      </x:c>
      <x:c r="F13" s="82" t="str">
        <x:v>View own requests + requester-visible entry scope; View internal action entries for Staff/Coordinator/Manager.</x:v>
      </x:c>
      <x:c r="G13" s="82" t="str">
        <x:v>Visibility is mandatory with no default; internal entries must never leak to Requester.</x:v>
      </x:c>
      <x:c r="H13" s="83" t="str">
        <x:v>Required; controlled by DEC-003/ADR-006.</x:v>
      </x:c>
    </x:row>
    <x:row r="14" ht="66" hidden="0" customHeight="1">
      <x:c r="A14" s="113" t="str">
        <x:v>RequestStatusHistory</x:v>
      </x:c>
      <x:c r="B14" s="114" t="str">
        <x:v>reason</x:v>
      </x:c>
      <x:c r="C14" s="114" t="str">
        <x:v>Workflow reason; may contain personal information</x:v>
      </x:c>
      <x:c r="D14" s="114" t="str">
        <x:v>Explain a transition where a reason is required, preserving accountable history.</x:v>
      </x:c>
      <x:c r="E14" s="114" t="str">
        <x:v>Requester only where the service intentionally exposes the reason; Staff/Coordinator/Manager in authorised scope for operational history.</x:v>
      </x:c>
      <x:c r="F14" s="114" t="str">
        <x:v>Request scope plus endpoint-specific visibility; no blanket requester access to internal detail.</x:v>
      </x:c>
      <x:c r="G14" s="114" t="str">
        <x:v>Keep reasons factual and service-related; avoid unnecessary personal data.</x:v>
      </x:c>
      <x:c r="H14" s="115" t="str">
        <x:v>Stored for traceability; exposure must follow endpoint contract.</x:v>
      </x:c>
    </x:row>
    <x:row r="15" ht="79.19999694824219" hidden="0" customHeight="1">
      <x:c r="A15" s="81" t="str">
        <x:v>AuditEntry</x:v>
      </x:c>
      <x:c r="B15" s="82" t="str">
        <x:v>previousValue</x:v>
      </x:c>
      <x:c r="C15" s="82" t="str">
        <x:v>Audit evidence; may copy personal/request values</x:v>
      </x:c>
      <x:c r="D15" s="82" t="str">
        <x:v>Preserve the before-value for accountable changes to status, assignee or priority and other audited fields.</x:v>
      </x:c>
      <x:c r="E15" s="82" t="str">
        <x:v>No requester access. No explicit audit-read function exists in the current Access Matrix; do not expose until a controlled read permission is defined.</x:v>
      </x:c>
      <x:c r="F15" s="82" t="str">
        <x:v>Edit/delete audit entry = No for every role; least privilege under NFR-008.</x:v>
      </x:c>
      <x:c r="G15" s="82" t="str">
        <x:v>Audit values are immutable; avoid auditing secrets such as passwordHash/resetCodeHash.</x:v>
      </x:c>
      <x:c r="H15" s="83" t="str">
        <x:v>Required for NFR-011; read exposure deliberately restricted.</x:v>
      </x:c>
    </x:row>
    <x:row r="16" ht="66" hidden="0" customHeight="1">
      <x:c r="A16" s="119" t="str">
        <x:v>AuditEntry</x:v>
      </x:c>
      <x:c r="B16" s="120" t="str">
        <x:v>newValue</x:v>
      </x:c>
      <x:c r="C16" s="120" t="str">
        <x:v>Audit evidence; may copy personal/request values</x:v>
      </x:c>
      <x:c r="D16" s="120" t="str">
        <x:v>Preserve the after-value for accountable changes.</x:v>
      </x:c>
      <x:c r="E16" s="120" t="str">
        <x:v>No requester access. No explicit audit-read function exists in the current Access Matrix; do not expose until a controlled read permission is defined.</x:v>
      </x:c>
      <x:c r="F16" s="120" t="str">
        <x:v>Edit/delete audit entry = No for every role; least privilege under NFR-008.</x:v>
      </x:c>
      <x:c r="G16" s="120" t="str">
        <x:v>Audit values are immutable; never put credential hashes/codes into audit payloads.</x:v>
      </x:c>
      <x:c r="H16" s="121" t="str">
        <x:v>Required for NFR-011; read exposure deliberately restricted.</x:v>
      </x:c>
    </x:row>
  </x:sheetData>
  <x:mergeCells>
    <x:mergeCell ref="A1:H1"/>
  </x:mergeCells>
  <x:pageMargins left="0.7" right="0.7" top="0.75" bottom="0.75" header="0.3" footer="0.3"/>
</x:worksheet>
</file>