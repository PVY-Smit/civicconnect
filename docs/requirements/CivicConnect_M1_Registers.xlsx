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Register'!$A$2:$H$5</definedName>
    <definedName function="false" hidden="true" localSheetId="16" name="_xlnm._FilterDatabase" vbProcedure="false">'Baseline Sign-off'!$A$2:$B$19</definedName>
    <definedName function="false" hidden="true" localSheetId="11" name="_xlnm._FilterDatabase" vbProcedure="false">'Change Requests'!$A$2:$P$3</definedName>
    <definedName function="false" hidden="true" localSheetId="5" name="_xlnm._FilterDatabase" vbProcedure="false">Constraints!$A$2:$D$10</definedName>
    <definedName function="false" hidden="true" localSheetId="9" name="_xlnm._FilterDatabase" vbProcedure="false">'Decision Log'!$A$2:$L$14</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Register'!$A$2:$L$16</definedName>
    <definedName function="false" hidden="true" localSheetId="6" name="_xlnm._FilterDatabase" vbProcedure="false">RTM!$A$2:$M$44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<sst xmlns="http://schemas.openxmlformats.org/spreadsheetml/2006/main" count="1753" uniqueCount="984">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</sst>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s">
        <v>17</v>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8</v>
      </c>
    </row>
    <row r="23" customFormat="false" ht="15" hidden="false" customHeight="false" outlineLevel="0" collapsed="false">
      <c r="A23" s="3" t="s">
        <v>27</v>
      </c>
      <c r="B23" s="6" t="n">
        <f aca="false">COUNTIF('Risk Register'!G3:G200,"Medium")</f>
        <v>4</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12</v>
      </c>
    </row>
    <row r="27" customFormat="false" ht="15" hidden="false" customHeight="false" outlineLevel="0" collapsed="false">
      <c r="A27" s="3" t="s">
        <v>31</v>
      </c>
      <c r="B27" s="6" t="n">
        <f aca="false">COUNTIF('Decision Log'!C3:C200,"DEFERRED to M2")</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74"/>
    <col collapsed="false" customWidth="true" hidden="false" outlineLevel="0" max="5" min="5" style="0" width="10"/>
    <col collapsed="false" customWidth="true" hidden="false" outlineLevel="0" max="6" min="6" style="0" width="46"/>
    <col collapsed="false" customWidth="true" hidden="false" outlineLevel="0" max="7" min="7" style="0" width="20"/>
    <col collapsed="false" customWidth="true" hidden="false" outlineLevel="0" max="9" min="8" style="0" width="14"/>
    <col collapsed="false" customWidth="true" hidden="false" outlineLevel="0" max="10" min="10" style="0" width="16"/>
    <col collapsed="false" customWidth="true" hidden="false" outlineLevel="0" max="11" min="11" style="0" width="14"/>
    <col collapsed="false" customWidth="true" hidden="false" outlineLevel="0" max="12" min="12" style="0" width="18"/>
    <col collapsed="false" customWidth="true" hidden="false" outlineLevel="0" max="13" min="13" style="0" width="12"/>
  </cols>
  <sheetData>
    <row r="1" customFormat="false" ht="25.5" hidden="false" customHeight="true" outlineLevel="0" collapsed="false">
      <c r="A1" s="7" t="s">
        <v>371</v>
      </c>
      <c r="B1" s="7"/>
      <c r="C1" s="7"/>
      <c r="D1" s="7"/>
      <c r="E1" s="7"/>
      <c r="F1" s="7"/>
      <c r="G1" s="7"/>
      <c r="H1" s="7"/>
      <c r="I1" s="7"/>
      <c r="J1" s="7"/>
      <c r="K1" s="7"/>
      <c r="L1" s="7"/>
      <c r="M1" s="7"/>
    </row>
    <row r="2" customFormat="false" ht="30" hidden="false" customHeight="true" outlineLevel="0" collapsed="false">
      <c r="A2" s="8" t="s">
        <v>372</v>
      </c>
      <c r="B2" s="8" t="s">
        <v>373</v>
      </c>
      <c r="C2" s="8" t="s">
        <v>374</v>
      </c>
      <c r="D2" s="8" t="s">
        <v>375</v>
      </c>
      <c r="E2" s="8" t="s">
        <v>174</v>
      </c>
      <c r="F2" s="8" t="s">
        <v>175</v>
      </c>
      <c r="G2" s="8" t="s">
        <v>376</v>
      </c>
      <c r="H2" s="8" t="s">
        <v>377</v>
      </c>
      <c r="I2" s="8" t="s">
        <v>378</v>
      </c>
      <c r="J2" s="8" t="s">
        <v>379</v>
      </c>
      <c r="K2" s="8" t="s">
        <v>380</v>
      </c>
      <c r="L2" s="8" t="s">
        <v>381</v>
      </c>
      <c r="M2" s="8" t="s">
        <v>176</v>
      </c>
    </row>
    <row r="3" customFormat="false" ht="23.85" hidden="false" customHeight="false" outlineLevel="0" collapsed="false">
      <c r="A3" s="9" t="s">
        <v>382</v>
      </c>
      <c r="B3" s="9" t="s">
        <v>179</v>
      </c>
      <c r="C3" s="9" t="s">
        <v>177</v>
      </c>
      <c r="D3" s="9" t="s">
        <v>383</v>
      </c>
      <c r="E3" s="9" t="s">
        <v>180</v>
      </c>
      <c r="F3" s="9" t="s">
        <v>384</v>
      </c>
      <c r="G3" s="9" t="s">
        <v>385</v>
      </c>
      <c r="H3" s="9" t="s">
        <v>386</v>
      </c>
      <c r="I3" s="9" t="s">
        <v>387</v>
      </c>
      <c r="J3" s="9" t="s">
        <v>387</v>
      </c>
      <c r="K3" s="9" t="s">
        <v>387</v>
      </c>
      <c r="L3" s="9" t="s">
        <v>388</v>
      </c>
      <c r="M3" s="9" t="s">
        <v>182</v>
      </c>
    </row>
    <row r="4" customFormat="false" ht="23.85" hidden="false" customHeight="false" outlineLevel="0" collapsed="false">
      <c r="A4" s="10" t="s">
        <v>389</v>
      </c>
      <c r="B4" s="10" t="s">
        <v>185</v>
      </c>
      <c r="C4" s="10" t="s">
        <v>183</v>
      </c>
      <c r="D4" s="10" t="s">
        <v>390</v>
      </c>
      <c r="E4" s="10" t="s">
        <v>180</v>
      </c>
      <c r="F4" s="10" t="s">
        <v>384</v>
      </c>
      <c r="G4" s="10" t="s">
        <v>391</v>
      </c>
      <c r="H4" s="10" t="s">
        <v>386</v>
      </c>
      <c r="I4" s="10" t="s">
        <v>387</v>
      </c>
      <c r="J4" s="10" t="s">
        <v>387</v>
      </c>
      <c r="K4" s="10" t="s">
        <v>387</v>
      </c>
      <c r="L4" s="10" t="s">
        <v>388</v>
      </c>
      <c r="M4" s="10" t="s">
        <v>182</v>
      </c>
    </row>
    <row r="5" customFormat="false" ht="23.85" hidden="false" customHeight="false" outlineLevel="0" collapsed="false">
      <c r="A5" s="9" t="s">
        <v>392</v>
      </c>
      <c r="B5" s="9" t="s">
        <v>63</v>
      </c>
      <c r="C5" s="9" t="s">
        <v>187</v>
      </c>
      <c r="D5" s="9" t="s">
        <v>188</v>
      </c>
      <c r="E5" s="9" t="s">
        <v>180</v>
      </c>
      <c r="F5" s="9" t="s">
        <v>384</v>
      </c>
      <c r="G5" s="9" t="s">
        <v>393</v>
      </c>
      <c r="H5" s="9" t="s">
        <v>386</v>
      </c>
      <c r="I5" s="9" t="s">
        <v>387</v>
      </c>
      <c r="J5" s="9" t="s">
        <v>387</v>
      </c>
      <c r="K5" s="9" t="s">
        <v>387</v>
      </c>
      <c r="L5" s="9" t="s">
        <v>388</v>
      </c>
      <c r="M5" s="9" t="s">
        <v>182</v>
      </c>
    </row>
    <row r="6" customFormat="false" ht="23.85" hidden="false" customHeight="false" outlineLevel="0" collapsed="false">
      <c r="A6" s="10" t="s">
        <v>394</v>
      </c>
      <c r="B6" s="10" t="s">
        <v>40</v>
      </c>
      <c r="C6" s="10" t="s">
        <v>190</v>
      </c>
      <c r="D6" s="10" t="s">
        <v>395</v>
      </c>
      <c r="E6" s="10" t="s">
        <v>192</v>
      </c>
      <c r="F6" s="10" t="s">
        <v>384</v>
      </c>
      <c r="G6" s="10" t="s">
        <v>385</v>
      </c>
      <c r="H6" s="10" t="s">
        <v>386</v>
      </c>
      <c r="I6" s="10" t="s">
        <v>387</v>
      </c>
      <c r="J6" s="10" t="s">
        <v>387</v>
      </c>
      <c r="K6" s="10" t="s">
        <v>387</v>
      </c>
      <c r="L6" s="10" t="s">
        <v>388</v>
      </c>
      <c r="M6" s="10" t="s">
        <v>182</v>
      </c>
    </row>
    <row r="7" customFormat="false" ht="23.85" hidden="false" customHeight="false" outlineLevel="0" collapsed="false">
      <c r="A7" s="9" t="s">
        <v>396</v>
      </c>
      <c r="B7" s="9" t="s">
        <v>40</v>
      </c>
      <c r="C7" s="9" t="s">
        <v>194</v>
      </c>
      <c r="D7" s="9" t="s">
        <v>397</v>
      </c>
      <c r="E7" s="9" t="s">
        <v>180</v>
      </c>
      <c r="F7" s="9" t="s">
        <v>384</v>
      </c>
      <c r="G7" s="9" t="s">
        <v>393</v>
      </c>
      <c r="H7" s="9" t="s">
        <v>386</v>
      </c>
      <c r="I7" s="9" t="s">
        <v>387</v>
      </c>
      <c r="J7" s="9" t="s">
        <v>387</v>
      </c>
      <c r="K7" s="9" t="s">
        <v>387</v>
      </c>
      <c r="L7" s="9" t="s">
        <v>388</v>
      </c>
      <c r="M7" s="9" t="s">
        <v>182</v>
      </c>
    </row>
    <row r="8" customFormat="false" ht="23.85" hidden="false" customHeight="false" outlineLevel="0" collapsed="false">
      <c r="A8" s="10" t="s">
        <v>398</v>
      </c>
      <c r="B8" s="10" t="s">
        <v>199</v>
      </c>
      <c r="C8" s="10" t="s">
        <v>197</v>
      </c>
      <c r="D8" s="10" t="s">
        <v>399</v>
      </c>
      <c r="E8" s="10" t="s">
        <v>180</v>
      </c>
      <c r="F8" s="10" t="s">
        <v>384</v>
      </c>
      <c r="G8" s="10" t="s">
        <v>400</v>
      </c>
      <c r="H8" s="10" t="s">
        <v>386</v>
      </c>
      <c r="I8" s="10" t="s">
        <v>387</v>
      </c>
      <c r="J8" s="10" t="s">
        <v>387</v>
      </c>
      <c r="K8" s="10" t="s">
        <v>387</v>
      </c>
      <c r="L8" s="10" t="s">
        <v>388</v>
      </c>
      <c r="M8" s="10" t="s">
        <v>182</v>
      </c>
    </row>
    <row r="9" customFormat="false" ht="23.85" hidden="false" customHeight="false" outlineLevel="0" collapsed="false">
      <c r="A9" s="9" t="s">
        <v>401</v>
      </c>
      <c r="B9" s="9" t="s">
        <v>40</v>
      </c>
      <c r="C9" s="9" t="s">
        <v>201</v>
      </c>
      <c r="D9" s="9" t="s">
        <v>402</v>
      </c>
      <c r="E9" s="9" t="s">
        <v>180</v>
      </c>
      <c r="F9" s="9" t="s">
        <v>384</v>
      </c>
      <c r="G9" s="9" t="s">
        <v>393</v>
      </c>
      <c r="H9" s="9" t="s">
        <v>386</v>
      </c>
      <c r="I9" s="9" t="s">
        <v>387</v>
      </c>
      <c r="J9" s="9" t="s">
        <v>387</v>
      </c>
      <c r="K9" s="9" t="s">
        <v>387</v>
      </c>
      <c r="L9" s="9" t="s">
        <v>388</v>
      </c>
      <c r="M9" s="9" t="s">
        <v>182</v>
      </c>
    </row>
    <row r="10" customFormat="false" ht="23.85" hidden="false" customHeight="false" outlineLevel="0" collapsed="false">
      <c r="A10" s="10" t="s">
        <v>403</v>
      </c>
      <c r="B10" s="10" t="s">
        <v>205</v>
      </c>
      <c r="C10" s="10" t="s">
        <v>102</v>
      </c>
      <c r="D10" s="10" t="s">
        <v>204</v>
      </c>
      <c r="E10" s="10" t="s">
        <v>180</v>
      </c>
      <c r="F10" s="10" t="s">
        <v>384</v>
      </c>
      <c r="G10" s="10" t="s">
        <v>393</v>
      </c>
      <c r="H10" s="10" t="s">
        <v>386</v>
      </c>
      <c r="I10" s="10" t="s">
        <v>387</v>
      </c>
      <c r="J10" s="10" t="s">
        <v>387</v>
      </c>
      <c r="K10" s="10" t="s">
        <v>387</v>
      </c>
      <c r="L10" s="10" t="s">
        <v>388</v>
      </c>
      <c r="M10" s="10" t="s">
        <v>182</v>
      </c>
    </row>
    <row r="11" customFormat="false" ht="23.85" hidden="false" customHeight="false" outlineLevel="0" collapsed="false">
      <c r="A11" s="9" t="s">
        <v>404</v>
      </c>
      <c r="B11" s="9" t="s">
        <v>40</v>
      </c>
      <c r="C11" s="9" t="s">
        <v>207</v>
      </c>
      <c r="D11" s="9" t="s">
        <v>405</v>
      </c>
      <c r="E11" s="9" t="s">
        <v>180</v>
      </c>
      <c r="F11" s="9" t="s">
        <v>384</v>
      </c>
      <c r="G11" s="9" t="s">
        <v>393</v>
      </c>
      <c r="H11" s="9" t="s">
        <v>386</v>
      </c>
      <c r="I11" s="9" t="s">
        <v>387</v>
      </c>
      <c r="J11" s="9" t="s">
        <v>387</v>
      </c>
      <c r="K11" s="9" t="s">
        <v>387</v>
      </c>
      <c r="L11" s="9" t="s">
        <v>388</v>
      </c>
      <c r="M11" s="9" t="s">
        <v>182</v>
      </c>
    </row>
    <row r="12" customFormat="false" ht="23.85" hidden="false" customHeight="false" outlineLevel="0" collapsed="false">
      <c r="A12" s="10" t="s">
        <v>406</v>
      </c>
      <c r="B12" s="10" t="s">
        <v>40</v>
      </c>
      <c r="C12" s="10" t="s">
        <v>210</v>
      </c>
      <c r="D12" s="10" t="s">
        <v>407</v>
      </c>
      <c r="E12" s="10" t="s">
        <v>180</v>
      </c>
      <c r="F12" s="10" t="s">
        <v>384</v>
      </c>
      <c r="G12" s="10" t="s">
        <v>393</v>
      </c>
      <c r="H12" s="10" t="s">
        <v>386</v>
      </c>
      <c r="I12" s="10" t="s">
        <v>387</v>
      </c>
      <c r="J12" s="10" t="s">
        <v>387</v>
      </c>
      <c r="K12" s="10" t="s">
        <v>387</v>
      </c>
      <c r="L12" s="10" t="s">
        <v>388</v>
      </c>
      <c r="M12" s="10" t="s">
        <v>182</v>
      </c>
    </row>
    <row r="13" customFormat="false" ht="23.85" hidden="false" customHeight="false" outlineLevel="0" collapsed="false">
      <c r="A13" s="9" t="s">
        <v>408</v>
      </c>
      <c r="B13" s="9" t="s">
        <v>215</v>
      </c>
      <c r="C13" s="9" t="s">
        <v>213</v>
      </c>
      <c r="D13" s="9" t="s">
        <v>409</v>
      </c>
      <c r="E13" s="9" t="s">
        <v>180</v>
      </c>
      <c r="F13" s="9" t="s">
        <v>384</v>
      </c>
      <c r="G13" s="9" t="s">
        <v>391</v>
      </c>
      <c r="H13" s="9" t="s">
        <v>386</v>
      </c>
      <c r="I13" s="9" t="s">
        <v>387</v>
      </c>
      <c r="J13" s="9" t="s">
        <v>387</v>
      </c>
      <c r="K13" s="9" t="s">
        <v>387</v>
      </c>
      <c r="L13" s="9" t="s">
        <v>388</v>
      </c>
      <c r="M13" s="9" t="s">
        <v>182</v>
      </c>
    </row>
    <row r="14" customFormat="false" ht="15" hidden="false" customHeight="false" outlineLevel="0" collapsed="false">
      <c r="A14" s="10" t="s">
        <v>410</v>
      </c>
      <c r="B14" s="10" t="s">
        <v>219</v>
      </c>
      <c r="C14" s="10" t="s">
        <v>217</v>
      </c>
      <c r="D14" s="10" t="s">
        <v>218</v>
      </c>
      <c r="E14" s="10" t="s">
        <v>180</v>
      </c>
      <c r="F14" s="10" t="s">
        <v>384</v>
      </c>
      <c r="G14" s="10" t="s">
        <v>391</v>
      </c>
      <c r="H14" s="10" t="s">
        <v>386</v>
      </c>
      <c r="I14" s="10" t="s">
        <v>387</v>
      </c>
      <c r="J14" s="10" t="s">
        <v>387</v>
      </c>
      <c r="K14" s="10" t="s">
        <v>387</v>
      </c>
      <c r="L14" s="10" t="s">
        <v>388</v>
      </c>
      <c r="M14" s="10" t="s">
        <v>182</v>
      </c>
    </row>
    <row r="15" customFormat="false" ht="23.85" hidden="false" customHeight="false" outlineLevel="0" collapsed="false">
      <c r="A15" s="9" t="s">
        <v>411</v>
      </c>
      <c r="B15" s="9" t="s">
        <v>223</v>
      </c>
      <c r="C15" s="9" t="s">
        <v>221</v>
      </c>
      <c r="D15" s="9" t="s">
        <v>222</v>
      </c>
      <c r="E15" s="9" t="s">
        <v>180</v>
      </c>
      <c r="F15" s="9" t="s">
        <v>384</v>
      </c>
      <c r="G15" s="9" t="s">
        <v>412</v>
      </c>
      <c r="H15" s="9" t="s">
        <v>386</v>
      </c>
      <c r="I15" s="9" t="s">
        <v>387</v>
      </c>
      <c r="J15" s="9" t="s">
        <v>387</v>
      </c>
      <c r="K15" s="9" t="s">
        <v>387</v>
      </c>
      <c r="L15" s="9" t="s">
        <v>388</v>
      </c>
      <c r="M15" s="9" t="s">
        <v>182</v>
      </c>
    </row>
    <row r="16" customFormat="false" ht="23.85" hidden="false" customHeight="false" outlineLevel="0" collapsed="false">
      <c r="A16" s="10" t="s">
        <v>413</v>
      </c>
      <c r="B16" s="10" t="s">
        <v>223</v>
      </c>
      <c r="C16" s="10" t="s">
        <v>225</v>
      </c>
      <c r="D16" s="10" t="s">
        <v>414</v>
      </c>
      <c r="E16" s="10" t="s">
        <v>180</v>
      </c>
      <c r="F16" s="10" t="s">
        <v>384</v>
      </c>
      <c r="G16" s="10" t="s">
        <v>415</v>
      </c>
      <c r="H16" s="10" t="s">
        <v>386</v>
      </c>
      <c r="I16" s="10" t="s">
        <v>387</v>
      </c>
      <c r="J16" s="10" t="s">
        <v>387</v>
      </c>
      <c r="K16" s="10" t="s">
        <v>387</v>
      </c>
      <c r="L16" s="10" t="s">
        <v>388</v>
      </c>
      <c r="M16" s="10" t="s">
        <v>182</v>
      </c>
    </row>
    <row r="17" customFormat="false" ht="23.85" hidden="false" customHeight="false" outlineLevel="0" collapsed="false">
      <c r="A17" s="9" t="s">
        <v>416</v>
      </c>
      <c r="B17" s="9" t="s">
        <v>53</v>
      </c>
      <c r="C17" s="9" t="s">
        <v>111</v>
      </c>
      <c r="D17" s="9" t="s">
        <v>417</v>
      </c>
      <c r="E17" s="9" t="s">
        <v>180</v>
      </c>
      <c r="F17" s="9" t="s">
        <v>384</v>
      </c>
      <c r="G17" s="9" t="s">
        <v>393</v>
      </c>
      <c r="H17" s="9" t="s">
        <v>386</v>
      </c>
      <c r="I17" s="9" t="s">
        <v>387</v>
      </c>
      <c r="J17" s="9" t="s">
        <v>387</v>
      </c>
      <c r="K17" s="9" t="s">
        <v>387</v>
      </c>
      <c r="L17" s="9" t="s">
        <v>388</v>
      </c>
      <c r="M17" s="9" t="s">
        <v>182</v>
      </c>
    </row>
    <row r="18" customFormat="false" ht="23.85" hidden="false" customHeight="false" outlineLevel="0" collapsed="false">
      <c r="A18" s="10" t="s">
        <v>418</v>
      </c>
      <c r="B18" s="10" t="s">
        <v>232</v>
      </c>
      <c r="C18" s="10" t="s">
        <v>230</v>
      </c>
      <c r="D18" s="10" t="s">
        <v>419</v>
      </c>
      <c r="E18" s="10" t="s">
        <v>180</v>
      </c>
      <c r="F18" s="10" t="s">
        <v>384</v>
      </c>
      <c r="G18" s="10" t="s">
        <v>420</v>
      </c>
      <c r="H18" s="10" t="s">
        <v>386</v>
      </c>
      <c r="I18" s="10" t="s">
        <v>387</v>
      </c>
      <c r="J18" s="10" t="s">
        <v>387</v>
      </c>
      <c r="K18" s="10" t="s">
        <v>387</v>
      </c>
      <c r="L18" s="10" t="s">
        <v>388</v>
      </c>
      <c r="M18" s="10" t="s">
        <v>182</v>
      </c>
    </row>
    <row r="19" customFormat="false" ht="23.85" hidden="false" customHeight="false" outlineLevel="0" collapsed="false">
      <c r="A19" s="9" t="s">
        <v>421</v>
      </c>
      <c r="B19" s="9" t="s">
        <v>47</v>
      </c>
      <c r="C19" s="9" t="s">
        <v>117</v>
      </c>
      <c r="D19" s="9" t="s">
        <v>422</v>
      </c>
      <c r="E19" s="9" t="s">
        <v>180</v>
      </c>
      <c r="F19" s="9" t="s">
        <v>384</v>
      </c>
      <c r="G19" s="9" t="s">
        <v>385</v>
      </c>
      <c r="H19" s="9" t="s">
        <v>386</v>
      </c>
      <c r="I19" s="9" t="s">
        <v>387</v>
      </c>
      <c r="J19" s="9" t="s">
        <v>387</v>
      </c>
      <c r="K19" s="9" t="s">
        <v>387</v>
      </c>
      <c r="L19" s="9" t="s">
        <v>388</v>
      </c>
      <c r="M19" s="9" t="s">
        <v>182</v>
      </c>
    </row>
    <row r="20" customFormat="false" ht="15" hidden="false" customHeight="false" outlineLevel="0" collapsed="false">
      <c r="A20" s="10" t="s">
        <v>423</v>
      </c>
      <c r="B20" s="10" t="s">
        <v>232</v>
      </c>
      <c r="C20" s="10" t="s">
        <v>236</v>
      </c>
      <c r="D20" s="10" t="s">
        <v>237</v>
      </c>
      <c r="E20" s="10" t="s">
        <v>180</v>
      </c>
      <c r="F20" s="10" t="s">
        <v>384</v>
      </c>
      <c r="G20" s="10" t="s">
        <v>393</v>
      </c>
      <c r="H20" s="10" t="s">
        <v>386</v>
      </c>
      <c r="I20" s="10" t="s">
        <v>387</v>
      </c>
      <c r="J20" s="10" t="s">
        <v>387</v>
      </c>
      <c r="K20" s="10" t="s">
        <v>387</v>
      </c>
      <c r="L20" s="10" t="s">
        <v>388</v>
      </c>
      <c r="M20" s="10" t="s">
        <v>182</v>
      </c>
    </row>
    <row r="21" customFormat="false" ht="23.85" hidden="false" customHeight="false" outlineLevel="0" collapsed="false">
      <c r="A21" s="9" t="s">
        <v>424</v>
      </c>
      <c r="B21" s="9" t="s">
        <v>53</v>
      </c>
      <c r="C21" s="9" t="s">
        <v>239</v>
      </c>
      <c r="D21" s="9" t="s">
        <v>240</v>
      </c>
      <c r="E21" s="9" t="s">
        <v>192</v>
      </c>
      <c r="F21" s="9" t="s">
        <v>384</v>
      </c>
      <c r="G21" s="9" t="s">
        <v>393</v>
      </c>
      <c r="H21" s="9" t="s">
        <v>386</v>
      </c>
      <c r="I21" s="9" t="s">
        <v>387</v>
      </c>
      <c r="J21" s="9" t="s">
        <v>387</v>
      </c>
      <c r="K21" s="9" t="s">
        <v>387</v>
      </c>
      <c r="L21" s="9" t="s">
        <v>388</v>
      </c>
      <c r="M21" s="9" t="s">
        <v>182</v>
      </c>
    </row>
    <row r="22" customFormat="false" ht="23.85" hidden="false" customHeight="false" outlineLevel="0" collapsed="false">
      <c r="A22" s="10" t="s">
        <v>425</v>
      </c>
      <c r="B22" s="10" t="s">
        <v>244</v>
      </c>
      <c r="C22" s="10" t="s">
        <v>242</v>
      </c>
      <c r="D22" s="10" t="s">
        <v>243</v>
      </c>
      <c r="E22" s="10" t="s">
        <v>192</v>
      </c>
      <c r="F22" s="10" t="s">
        <v>384</v>
      </c>
      <c r="G22" s="10" t="s">
        <v>393</v>
      </c>
      <c r="H22" s="10" t="s">
        <v>386</v>
      </c>
      <c r="I22" s="10" t="s">
        <v>387</v>
      </c>
      <c r="J22" s="10" t="s">
        <v>387</v>
      </c>
      <c r="K22" s="10" t="s">
        <v>387</v>
      </c>
      <c r="L22" s="10" t="s">
        <v>388</v>
      </c>
      <c r="M22" s="10" t="s">
        <v>182</v>
      </c>
    </row>
    <row r="23" customFormat="false" ht="23.85" hidden="false" customHeight="false" outlineLevel="0" collapsed="false">
      <c r="A23" s="9" t="s">
        <v>426</v>
      </c>
      <c r="B23" s="9" t="s">
        <v>205</v>
      </c>
      <c r="C23" s="9" t="s">
        <v>120</v>
      </c>
      <c r="D23" s="9" t="s">
        <v>427</v>
      </c>
      <c r="E23" s="9" t="s">
        <v>180</v>
      </c>
      <c r="F23" s="9" t="s">
        <v>384</v>
      </c>
      <c r="G23" s="9" t="s">
        <v>393</v>
      </c>
      <c r="H23" s="9" t="s">
        <v>386</v>
      </c>
      <c r="I23" s="9" t="s">
        <v>387</v>
      </c>
      <c r="J23" s="9" t="s">
        <v>387</v>
      </c>
      <c r="K23" s="9" t="s">
        <v>387</v>
      </c>
      <c r="L23" s="9" t="s">
        <v>388</v>
      </c>
      <c r="M23" s="9" t="s">
        <v>182</v>
      </c>
    </row>
    <row r="24" customFormat="false" ht="23.85" hidden="false" customHeight="false" outlineLevel="0" collapsed="false">
      <c r="A24" s="10" t="s">
        <v>428</v>
      </c>
      <c r="B24" s="10" t="s">
        <v>58</v>
      </c>
      <c r="C24" s="10" t="s">
        <v>248</v>
      </c>
      <c r="D24" s="10" t="s">
        <v>249</v>
      </c>
      <c r="E24" s="10" t="s">
        <v>180</v>
      </c>
      <c r="F24" s="10" t="s">
        <v>384</v>
      </c>
      <c r="G24" s="10" t="s">
        <v>429</v>
      </c>
      <c r="H24" s="10" t="s">
        <v>386</v>
      </c>
      <c r="I24" s="10" t="s">
        <v>387</v>
      </c>
      <c r="J24" s="10" t="s">
        <v>387</v>
      </c>
      <c r="K24" s="10" t="s">
        <v>387</v>
      </c>
      <c r="L24" s="10" t="s">
        <v>388</v>
      </c>
      <c r="M24" s="10" t="s">
        <v>182</v>
      </c>
    </row>
    <row r="25" customFormat="false" ht="15" hidden="false" customHeight="false" outlineLevel="0" collapsed="false">
      <c r="A25" s="9" t="s">
        <v>430</v>
      </c>
      <c r="B25" s="9" t="s">
        <v>58</v>
      </c>
      <c r="C25" s="9" t="s">
        <v>251</v>
      </c>
      <c r="D25" s="9" t="s">
        <v>252</v>
      </c>
      <c r="E25" s="9" t="s">
        <v>192</v>
      </c>
      <c r="F25" s="9" t="s">
        <v>384</v>
      </c>
      <c r="G25" s="9" t="s">
        <v>415</v>
      </c>
      <c r="H25" s="9" t="s">
        <v>386</v>
      </c>
      <c r="I25" s="9" t="s">
        <v>387</v>
      </c>
      <c r="J25" s="9" t="s">
        <v>387</v>
      </c>
      <c r="K25" s="9" t="s">
        <v>387</v>
      </c>
      <c r="L25" s="9" t="s">
        <v>388</v>
      </c>
      <c r="M25" s="9" t="s">
        <v>182</v>
      </c>
    </row>
    <row r="26" customFormat="false" ht="15" hidden="false" customHeight="false" outlineLevel="0" collapsed="false">
      <c r="A26" s="10" t="s">
        <v>431</v>
      </c>
      <c r="B26" s="10" t="s">
        <v>232</v>
      </c>
      <c r="C26" s="10" t="s">
        <v>254</v>
      </c>
      <c r="D26" s="10" t="s">
        <v>255</v>
      </c>
      <c r="E26" s="10" t="s">
        <v>192</v>
      </c>
      <c r="F26" s="10" t="s">
        <v>384</v>
      </c>
      <c r="G26" s="10" t="s">
        <v>400</v>
      </c>
      <c r="H26" s="10" t="s">
        <v>386</v>
      </c>
      <c r="I26" s="10" t="s">
        <v>387</v>
      </c>
      <c r="J26" s="10" t="s">
        <v>387</v>
      </c>
      <c r="K26" s="10" t="s">
        <v>387</v>
      </c>
      <c r="L26" s="10" t="s">
        <v>388</v>
      </c>
      <c r="M26" s="10" t="s">
        <v>182</v>
      </c>
    </row>
    <row r="27" customFormat="false" ht="23.85" hidden="false" customHeight="false" outlineLevel="0" collapsed="false">
      <c r="A27" s="9" t="s">
        <v>432</v>
      </c>
      <c r="B27" s="9" t="s">
        <v>259</v>
      </c>
      <c r="C27" s="9" t="s">
        <v>257</v>
      </c>
      <c r="D27" s="9" t="s">
        <v>433</v>
      </c>
      <c r="E27" s="9" t="s">
        <v>180</v>
      </c>
      <c r="F27" s="9" t="s">
        <v>384</v>
      </c>
      <c r="G27" s="9" t="s">
        <v>393</v>
      </c>
      <c r="H27" s="9" t="s">
        <v>386</v>
      </c>
      <c r="I27" s="9" t="s">
        <v>387</v>
      </c>
      <c r="J27" s="9" t="s">
        <v>387</v>
      </c>
      <c r="K27" s="9" t="s">
        <v>387</v>
      </c>
      <c r="L27" s="9" t="s">
        <v>388</v>
      </c>
      <c r="M27" s="9" t="s">
        <v>182</v>
      </c>
    </row>
    <row r="28" customFormat="false" ht="15" hidden="false" customHeight="false" outlineLevel="0" collapsed="false">
      <c r="A28" s="10" t="s">
        <v>434</v>
      </c>
      <c r="B28" s="10" t="s">
        <v>259</v>
      </c>
      <c r="C28" s="10" t="s">
        <v>261</v>
      </c>
      <c r="D28" s="10" t="s">
        <v>262</v>
      </c>
      <c r="E28" s="10" t="s">
        <v>180</v>
      </c>
      <c r="F28" s="10" t="s">
        <v>384</v>
      </c>
      <c r="G28" s="10" t="s">
        <v>393</v>
      </c>
      <c r="H28" s="10" t="s">
        <v>386</v>
      </c>
      <c r="I28" s="10" t="s">
        <v>387</v>
      </c>
      <c r="J28" s="10" t="s">
        <v>387</v>
      </c>
      <c r="K28" s="10" t="s">
        <v>387</v>
      </c>
      <c r="L28" s="10" t="s">
        <v>388</v>
      </c>
      <c r="M28" s="10" t="s">
        <v>182</v>
      </c>
    </row>
    <row r="29" customFormat="false" ht="23.85" hidden="false" customHeight="false" outlineLevel="0" collapsed="false">
      <c r="A29" s="9" t="s">
        <v>435</v>
      </c>
      <c r="B29" s="9" t="s">
        <v>63</v>
      </c>
      <c r="C29" s="9" t="s">
        <v>264</v>
      </c>
      <c r="D29" s="9" t="s">
        <v>436</v>
      </c>
      <c r="E29" s="9" t="s">
        <v>192</v>
      </c>
      <c r="F29" s="9" t="s">
        <v>384</v>
      </c>
      <c r="G29" s="9" t="s">
        <v>393</v>
      </c>
      <c r="H29" s="9" t="s">
        <v>386</v>
      </c>
      <c r="I29" s="9" t="s">
        <v>387</v>
      </c>
      <c r="J29" s="9" t="s">
        <v>387</v>
      </c>
      <c r="K29" s="9" t="s">
        <v>387</v>
      </c>
      <c r="L29" s="9" t="s">
        <v>388</v>
      </c>
      <c r="M29" s="9" t="s">
        <v>182</v>
      </c>
    </row>
    <row r="30" customFormat="false" ht="23.85" hidden="false" customHeight="false" outlineLevel="0" collapsed="false">
      <c r="A30" s="10" t="s">
        <v>437</v>
      </c>
      <c r="B30" s="10" t="s">
        <v>63</v>
      </c>
      <c r="C30" s="10" t="s">
        <v>267</v>
      </c>
      <c r="D30" s="10" t="s">
        <v>438</v>
      </c>
      <c r="E30" s="10" t="s">
        <v>269</v>
      </c>
      <c r="F30" s="10" t="s">
        <v>384</v>
      </c>
      <c r="G30" s="10" t="s">
        <v>393</v>
      </c>
      <c r="H30" s="10" t="s">
        <v>386</v>
      </c>
      <c r="I30" s="10" t="s">
        <v>387</v>
      </c>
      <c r="J30" s="10" t="s">
        <v>387</v>
      </c>
      <c r="K30" s="10" t="s">
        <v>387</v>
      </c>
      <c r="L30" s="10" t="s">
        <v>388</v>
      </c>
      <c r="M30" s="10" t="s">
        <v>182</v>
      </c>
    </row>
    <row r="31" customFormat="false" ht="23.85" hidden="false" customHeight="false" outlineLevel="0" collapsed="false">
      <c r="A31" s="9" t="s">
        <v>439</v>
      </c>
      <c r="B31" s="9" t="s">
        <v>40</v>
      </c>
      <c r="C31" s="9" t="s">
        <v>271</v>
      </c>
      <c r="D31" s="9" t="s">
        <v>440</v>
      </c>
      <c r="E31" s="9" t="s">
        <v>180</v>
      </c>
      <c r="F31" s="9" t="s">
        <v>384</v>
      </c>
      <c r="G31" s="9" t="s">
        <v>393</v>
      </c>
      <c r="H31" s="9" t="s">
        <v>386</v>
      </c>
      <c r="I31" s="9" t="s">
        <v>387</v>
      </c>
      <c r="J31" s="9" t="s">
        <v>387</v>
      </c>
      <c r="K31" s="9" t="s">
        <v>387</v>
      </c>
      <c r="L31" s="9" t="s">
        <v>388</v>
      </c>
      <c r="M31" s="9" t="s">
        <v>182</v>
      </c>
    </row>
    <row r="32" customFormat="false" ht="23.85" hidden="false" customHeight="false" outlineLevel="0" collapsed="false">
      <c r="A32" s="10" t="s">
        <v>441</v>
      </c>
      <c r="B32" s="10" t="s">
        <v>47</v>
      </c>
      <c r="C32" s="10" t="s">
        <v>278</v>
      </c>
      <c r="D32" s="10" t="s">
        <v>280</v>
      </c>
      <c r="E32" s="10" t="s">
        <v>180</v>
      </c>
      <c r="F32" s="10" t="s">
        <v>281</v>
      </c>
      <c r="G32" s="10" t="s">
        <v>442</v>
      </c>
      <c r="H32" s="10" t="s">
        <v>386</v>
      </c>
      <c r="I32" s="10" t="s">
        <v>387</v>
      </c>
      <c r="J32" s="10" t="s">
        <v>387</v>
      </c>
      <c r="K32" s="10" t="s">
        <v>387</v>
      </c>
      <c r="L32" s="10" t="s">
        <v>388</v>
      </c>
      <c r="M32" s="10" t="s">
        <v>182</v>
      </c>
    </row>
    <row r="33" customFormat="false" ht="23.85" hidden="false" customHeight="false" outlineLevel="0" collapsed="false">
      <c r="A33" s="9" t="s">
        <v>443</v>
      </c>
      <c r="B33" s="9" t="s">
        <v>40</v>
      </c>
      <c r="C33" s="9" t="s">
        <v>283</v>
      </c>
      <c r="D33" s="9" t="s">
        <v>284</v>
      </c>
      <c r="E33" s="9" t="s">
        <v>180</v>
      </c>
      <c r="F33" s="9" t="s">
        <v>285</v>
      </c>
      <c r="G33" s="9" t="s">
        <v>393</v>
      </c>
      <c r="H33" s="9" t="s">
        <v>386</v>
      </c>
      <c r="I33" s="9" t="s">
        <v>387</v>
      </c>
      <c r="J33" s="9" t="s">
        <v>387</v>
      </c>
      <c r="K33" s="9" t="s">
        <v>387</v>
      </c>
      <c r="L33" s="9" t="s">
        <v>388</v>
      </c>
      <c r="M33" s="9" t="s">
        <v>182</v>
      </c>
    </row>
    <row r="34" customFormat="false" ht="35.05" hidden="false" customHeight="false" outlineLevel="0" collapsed="false">
      <c r="A34" s="10" t="s">
        <v>444</v>
      </c>
      <c r="B34" s="10" t="s">
        <v>68</v>
      </c>
      <c r="C34" s="10" t="s">
        <v>287</v>
      </c>
      <c r="D34" s="10" t="s">
        <v>289</v>
      </c>
      <c r="E34" s="10" t="s">
        <v>192</v>
      </c>
      <c r="F34" s="10" t="s">
        <v>290</v>
      </c>
      <c r="G34" s="10" t="s">
        <v>445</v>
      </c>
      <c r="H34" s="10" t="s">
        <v>386</v>
      </c>
      <c r="I34" s="10" t="s">
        <v>387</v>
      </c>
      <c r="J34" s="10" t="s">
        <v>387</v>
      </c>
      <c r="K34" s="10" t="s">
        <v>387</v>
      </c>
      <c r="L34" s="10" t="s">
        <v>388</v>
      </c>
      <c r="M34" s="10" t="s">
        <v>182</v>
      </c>
    </row>
    <row r="35" customFormat="false" ht="35.05" hidden="false" customHeight="false" outlineLevel="0" collapsed="false">
      <c r="A35" s="9" t="s">
        <v>446</v>
      </c>
      <c r="B35" s="9" t="s">
        <v>179</v>
      </c>
      <c r="C35" s="9" t="s">
        <v>292</v>
      </c>
      <c r="D35" s="9" t="s">
        <v>294</v>
      </c>
      <c r="E35" s="9" t="s">
        <v>180</v>
      </c>
      <c r="F35" s="9" t="s">
        <v>295</v>
      </c>
      <c r="G35" s="9" t="s">
        <v>385</v>
      </c>
      <c r="H35" s="9" t="s">
        <v>386</v>
      </c>
      <c r="I35" s="9" t="s">
        <v>387</v>
      </c>
      <c r="J35" s="9" t="s">
        <v>387</v>
      </c>
      <c r="K35" s="9" t="s">
        <v>387</v>
      </c>
      <c r="L35" s="9" t="s">
        <v>388</v>
      </c>
      <c r="M35" s="9" t="s">
        <v>182</v>
      </c>
    </row>
    <row r="36" customFormat="false" ht="23.85" hidden="false" customHeight="false" outlineLevel="0" collapsed="false">
      <c r="A36" s="10" t="s">
        <v>447</v>
      </c>
      <c r="B36" s="10" t="s">
        <v>68</v>
      </c>
      <c r="C36" s="10" t="s">
        <v>297</v>
      </c>
      <c r="D36" s="10" t="s">
        <v>298</v>
      </c>
      <c r="E36" s="10" t="s">
        <v>180</v>
      </c>
      <c r="F36" s="10" t="s">
        <v>299</v>
      </c>
      <c r="G36" s="10" t="s">
        <v>391</v>
      </c>
      <c r="H36" s="10" t="s">
        <v>386</v>
      </c>
      <c r="I36" s="10" t="s">
        <v>387</v>
      </c>
      <c r="J36" s="10" t="s">
        <v>387</v>
      </c>
      <c r="K36" s="10" t="s">
        <v>387</v>
      </c>
      <c r="L36" s="10" t="s">
        <v>388</v>
      </c>
      <c r="M36" s="10" t="s">
        <v>182</v>
      </c>
    </row>
    <row r="37" customFormat="false" ht="23.85" hidden="false" customHeight="false" outlineLevel="0" collapsed="false">
      <c r="A37" s="9" t="s">
        <v>448</v>
      </c>
      <c r="B37" s="9" t="s">
        <v>179</v>
      </c>
      <c r="C37" s="9" t="s">
        <v>301</v>
      </c>
      <c r="D37" s="9" t="s">
        <v>302</v>
      </c>
      <c r="E37" s="9" t="s">
        <v>180</v>
      </c>
      <c r="F37" s="9" t="s">
        <v>303</v>
      </c>
      <c r="G37" s="9" t="s">
        <v>393</v>
      </c>
      <c r="H37" s="9" t="s">
        <v>386</v>
      </c>
      <c r="I37" s="9" t="s">
        <v>387</v>
      </c>
      <c r="J37" s="9" t="s">
        <v>387</v>
      </c>
      <c r="K37" s="9" t="s">
        <v>387</v>
      </c>
      <c r="L37" s="9" t="s">
        <v>388</v>
      </c>
      <c r="M37" s="9" t="s">
        <v>182</v>
      </c>
    </row>
    <row r="38" customFormat="false" ht="23.85" hidden="false" customHeight="false" outlineLevel="0" collapsed="false">
      <c r="A38" s="10" t="s">
        <v>449</v>
      </c>
      <c r="B38" s="10" t="s">
        <v>68</v>
      </c>
      <c r="C38" s="10" t="s">
        <v>305</v>
      </c>
      <c r="D38" s="10" t="s">
        <v>306</v>
      </c>
      <c r="E38" s="10" t="s">
        <v>180</v>
      </c>
      <c r="F38" s="10" t="s">
        <v>307</v>
      </c>
      <c r="G38" s="10" t="s">
        <v>450</v>
      </c>
      <c r="H38" s="10" t="s">
        <v>386</v>
      </c>
      <c r="I38" s="10" t="s">
        <v>387</v>
      </c>
      <c r="J38" s="10" t="s">
        <v>387</v>
      </c>
      <c r="K38" s="10" t="s">
        <v>387</v>
      </c>
      <c r="L38" s="10" t="s">
        <v>388</v>
      </c>
      <c r="M38" s="10" t="s">
        <v>182</v>
      </c>
    </row>
    <row r="39" customFormat="false" ht="46.25" hidden="false" customHeight="false" outlineLevel="0" collapsed="false">
      <c r="A39" s="9" t="s">
        <v>451</v>
      </c>
      <c r="B39" s="9" t="s">
        <v>73</v>
      </c>
      <c r="C39" s="9" t="s">
        <v>309</v>
      </c>
      <c r="D39" s="9" t="s">
        <v>310</v>
      </c>
      <c r="E39" s="9" t="s">
        <v>180</v>
      </c>
      <c r="F39" s="9" t="s">
        <v>311</v>
      </c>
      <c r="G39" s="9" t="s">
        <v>452</v>
      </c>
      <c r="H39" s="9" t="s">
        <v>386</v>
      </c>
      <c r="I39" s="9" t="s">
        <v>387</v>
      </c>
      <c r="J39" s="9" t="s">
        <v>387</v>
      </c>
      <c r="K39" s="9" t="s">
        <v>387</v>
      </c>
      <c r="L39" s="9" t="s">
        <v>388</v>
      </c>
      <c r="M39" s="9" t="s">
        <v>182</v>
      </c>
    </row>
    <row r="40" customFormat="false" ht="23.85" hidden="false" customHeight="false" outlineLevel="0" collapsed="false">
      <c r="A40" s="10" t="s">
        <v>453</v>
      </c>
      <c r="B40" s="10" t="s">
        <v>40</v>
      </c>
      <c r="C40" s="10" t="s">
        <v>313</v>
      </c>
      <c r="D40" s="10" t="s">
        <v>315</v>
      </c>
      <c r="E40" s="10" t="s">
        <v>192</v>
      </c>
      <c r="F40" s="10" t="s">
        <v>316</v>
      </c>
      <c r="G40" s="10" t="s">
        <v>393</v>
      </c>
      <c r="H40" s="10" t="s">
        <v>386</v>
      </c>
      <c r="I40" s="10" t="s">
        <v>387</v>
      </c>
      <c r="J40" s="10" t="s">
        <v>387</v>
      </c>
      <c r="K40" s="10" t="s">
        <v>387</v>
      </c>
      <c r="L40" s="10" t="s">
        <v>388</v>
      </c>
      <c r="M40" s="10" t="s">
        <v>182</v>
      </c>
    </row>
    <row r="41" customFormat="false" ht="46.25" hidden="false" customHeight="false" outlineLevel="0" collapsed="false">
      <c r="A41" s="9" t="s">
        <v>454</v>
      </c>
      <c r="B41" s="9" t="s">
        <v>40</v>
      </c>
      <c r="C41" s="9" t="s">
        <v>318</v>
      </c>
      <c r="D41" s="9" t="s">
        <v>319</v>
      </c>
      <c r="E41" s="9" t="s">
        <v>192</v>
      </c>
      <c r="F41" s="9" t="s">
        <v>320</v>
      </c>
      <c r="G41" s="9" t="s">
        <v>393</v>
      </c>
      <c r="H41" s="9" t="s">
        <v>386</v>
      </c>
      <c r="I41" s="9" t="s">
        <v>387</v>
      </c>
      <c r="J41" s="9" t="s">
        <v>387</v>
      </c>
      <c r="K41" s="9" t="s">
        <v>387</v>
      </c>
      <c r="L41" s="9" t="s">
        <v>388</v>
      </c>
      <c r="M41" s="9" t="s">
        <v>182</v>
      </c>
    </row>
    <row r="42" customFormat="false" ht="23.85" hidden="false" customHeight="false" outlineLevel="0" collapsed="false">
      <c r="A42" s="10" t="s">
        <v>455</v>
      </c>
      <c r="B42" s="10" t="s">
        <v>58</v>
      </c>
      <c r="C42" s="10" t="s">
        <v>322</v>
      </c>
      <c r="D42" s="10" t="s">
        <v>324</v>
      </c>
      <c r="E42" s="10" t="s">
        <v>180</v>
      </c>
      <c r="F42" s="10" t="s">
        <v>325</v>
      </c>
      <c r="G42" s="10" t="s">
        <v>456</v>
      </c>
      <c r="H42" s="10" t="s">
        <v>386</v>
      </c>
      <c r="I42" s="10" t="s">
        <v>387</v>
      </c>
      <c r="J42" s="10" t="s">
        <v>387</v>
      </c>
      <c r="K42" s="10" t="s">
        <v>387</v>
      </c>
      <c r="L42" s="10" t="s">
        <v>388</v>
      </c>
      <c r="M42" s="10" t="s">
        <v>182</v>
      </c>
    </row>
    <row r="43" customFormat="false" ht="35.05" hidden="false" customHeight="false" outlineLevel="0" collapsed="false">
      <c r="A43" s="9" t="s">
        <v>457</v>
      </c>
      <c r="B43" s="9" t="s">
        <v>83</v>
      </c>
      <c r="C43" s="9" t="s">
        <v>327</v>
      </c>
      <c r="D43" s="9" t="s">
        <v>329</v>
      </c>
      <c r="E43" s="9" t="s">
        <v>180</v>
      </c>
      <c r="F43" s="9" t="s">
        <v>330</v>
      </c>
      <c r="G43" s="9" t="s">
        <v>458</v>
      </c>
      <c r="H43" s="9" t="s">
        <v>386</v>
      </c>
      <c r="I43" s="9" t="s">
        <v>387</v>
      </c>
      <c r="J43" s="9" t="s">
        <v>387</v>
      </c>
      <c r="K43" s="9" t="s">
        <v>387</v>
      </c>
      <c r="L43" s="9" t="s">
        <v>388</v>
      </c>
      <c r="M43" s="9" t="s">
        <v>182</v>
      </c>
    </row>
    <row r="44" customFormat="false" ht="35.05" hidden="false" customHeight="false" outlineLevel="0" collapsed="false">
      <c r="A44" s="10" t="s">
        <v>459</v>
      </c>
      <c r="B44" s="10" t="s">
        <v>68</v>
      </c>
      <c r="C44" s="10" t="s">
        <v>332</v>
      </c>
      <c r="D44" s="10" t="s">
        <v>334</v>
      </c>
      <c r="E44" s="10" t="s">
        <v>180</v>
      </c>
      <c r="F44" s="10" t="s">
        <v>335</v>
      </c>
      <c r="G44" s="10" t="s">
        <v>445</v>
      </c>
      <c r="H44" s="10" t="s">
        <v>386</v>
      </c>
      <c r="I44" s="10" t="s">
        <v>387</v>
      </c>
      <c r="J44" s="10" t="s">
        <v>387</v>
      </c>
      <c r="K44" s="10" t="s">
        <v>387</v>
      </c>
      <c r="L44" s="10" t="s">
        <v>388</v>
      </c>
      <c r="M44" s="10" t="s">
        <v>182</v>
      </c>
    </row>
  </sheetData>
  <autoFilter ref="A2:M44"/>
  <mergeCells count="1">
    <mergeCell ref="A1: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46.25"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12" t="s">
        <v>475</v>
      </c>
      <c r="K3" s="9" t="s">
        <v>476</v>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2" t="s">
        <v>483</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12" t="s">
        <v>489</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2" t="s">
        <v>475</v>
      </c>
      <c r="K6" s="10" t="s">
        <v>476</v>
      </c>
      <c r="L6" s="10" t="s">
        <v>496</v>
      </c>
    </row>
    <row r="7" customFormat="false" ht="46.25" hidden="false" customHeight="false" outlineLevel="0" collapsed="false">
      <c r="A7" s="9" t="s">
        <v>385</v>
      </c>
      <c r="B7" s="9" t="s">
        <v>497</v>
      </c>
      <c r="C7" s="9" t="s">
        <v>498</v>
      </c>
      <c r="D7" s="9" t="n">
        <v>3</v>
      </c>
      <c r="E7" s="9" t="n">
        <v>5</v>
      </c>
      <c r="F7" s="11" t="n">
        <f aca="false">D7*E7</f>
        <v>15</v>
      </c>
      <c r="G7" s="11" t="str">
        <f aca="false">IF(F7&gt;=20,"Critical",IF(F7&gt;=12,"High",IF(F7&gt;=6,"Medium","Low")))</f>
        <v>High</v>
      </c>
      <c r="H7" s="9" t="s">
        <v>499</v>
      </c>
      <c r="I7" s="9" t="s">
        <v>500</v>
      </c>
      <c r="J7" s="12" t="s">
        <v>483</v>
      </c>
      <c r="K7" s="9" t="s">
        <v>476</v>
      </c>
      <c r="L7" s="9" t="s">
        <v>501</v>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2" t="s">
        <v>489</v>
      </c>
      <c r="K8" s="10" t="s">
        <v>476</v>
      </c>
      <c r="L8" s="10" t="s">
        <v>507</v>
      </c>
    </row>
    <row r="9" customFormat="false" ht="35.05" hidden="false" customHeight="false" outlineLevel="0" collapsed="false">
      <c r="A9" s="9" t="s">
        <v>508</v>
      </c>
      <c r="B9" s="9" t="s">
        <v>509</v>
      </c>
      <c r="C9" s="9" t="s">
        <v>510</v>
      </c>
      <c r="D9" s="9" t="n">
        <v>2</v>
      </c>
      <c r="E9" s="9" t="n">
        <v>4</v>
      </c>
      <c r="F9" s="11" t="n">
        <f aca="false">D9*E9</f>
        <v>8</v>
      </c>
      <c r="G9" s="11" t="str">
        <f aca="false">IF(F9&gt;=20,"Critical",IF(F9&gt;=12,"High",IF(F9&gt;=6,"Medium","Low")))</f>
        <v>Medium</v>
      </c>
      <c r="H9" s="9" t="s">
        <v>511</v>
      </c>
      <c r="I9" s="9" t="s">
        <v>512</v>
      </c>
      <c r="J9" s="12" t="s">
        <v>475</v>
      </c>
      <c r="K9" s="9" t="s">
        <v>476</v>
      </c>
      <c r="L9" s="9" t="s">
        <v>513</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2" t="s">
        <v>483</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12" t="s">
        <v>489</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2" t="s">
        <v>483</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12" t="s">
        <v>475</v>
      </c>
      <c r="K13" s="9" t="s">
        <v>476</v>
      </c>
      <c r="L13" s="9" t="s">
        <v>535</v>
      </c>
    </row>
    <row r="14" customFormat="false" ht="46.25" hidden="false" customHeight="false" outlineLevel="0" collapsed="false">
      <c r="A14" s="10" t="s">
        <v>536</v>
      </c>
      <c r="B14" s="10" t="s">
        <v>537</v>
      </c>
      <c r="C14" s="10" t="s">
        <v>538</v>
      </c>
      <c r="D14" s="10" t="n">
        <v>2</v>
      </c>
      <c r="E14" s="10" t="n">
        <v>4</v>
      </c>
      <c r="F14" s="13" t="n">
        <f aca="false">D14*E14</f>
        <v>8</v>
      </c>
      <c r="G14" s="13" t="str">
        <f aca="false">IF(F14&gt;=20,"Critical",IF(F14&gt;=12,"High",IF(F14&gt;=6,"Medium","Low")))</f>
        <v>Medium</v>
      </c>
      <c r="H14" s="10" t="s">
        <v>539</v>
      </c>
      <c r="I14" s="10" t="s">
        <v>540</v>
      </c>
      <c r="J14" s="12" t="s">
        <v>489</v>
      </c>
      <c r="K14" s="10" t="s">
        <v>476</v>
      </c>
      <c r="L14" s="10" t="s">
        <v>541</v>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12" t="s">
        <v>483</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2" t="s">
        <v>475</v>
      </c>
      <c r="K16" s="10" t="s">
        <v>476</v>
      </c>
      <c r="L16" s="10" t="s">
        <v>553</v>
      </c>
    </row>
  </sheetData>
  <autoFilter ref="A2:L16"/>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35.05" hidden="false" customHeight="false" outlineLevel="0" collapsed="false">
      <c r="A3" s="9" t="s">
        <v>412</v>
      </c>
      <c r="B3" s="9" t="s">
        <v>560</v>
      </c>
      <c r="C3" s="9" t="s">
        <v>561</v>
      </c>
      <c r="D3" s="9" t="s">
        <v>562</v>
      </c>
      <c r="E3" s="9" t="s">
        <v>563</v>
      </c>
      <c r="F3" s="9" t="s">
        <v>564</v>
      </c>
      <c r="G3" s="9" t="s">
        <v>973</v>
      </c>
    </row>
    <row r="4" customFormat="false" ht="35.05" hidden="false" customHeight="false" outlineLevel="0" collapsed="false">
      <c r="A4" s="10" t="s">
        <v>400</v>
      </c>
      <c r="B4" s="10" t="s">
        <v>566</v>
      </c>
      <c r="C4" s="10" t="s">
        <v>567</v>
      </c>
      <c r="D4" s="10" t="s">
        <v>568</v>
      </c>
      <c r="E4" s="10" t="s">
        <v>569</v>
      </c>
      <c r="F4" s="10" t="s">
        <v>570</v>
      </c>
      <c r="G4" s="10" t="s">
        <v>571</v>
      </c>
    </row>
    <row r="5" customFormat="false" ht="35.05" hidden="false" customHeight="false" outlineLevel="0" collapsed="false">
      <c r="A5" s="9" t="s">
        <v>572</v>
      </c>
      <c r="B5" s="9" t="s">
        <v>573</v>
      </c>
      <c r="C5" s="9" t="s">
        <v>574</v>
      </c>
      <c r="D5" s="9" t="s">
        <v>575</v>
      </c>
      <c r="E5" s="9" t="s">
        <v>576</v>
      </c>
      <c r="F5" s="9" t="s">
        <v>577</v>
      </c>
      <c r="G5" s="9" t="s">
        <v>974</v>
      </c>
    </row>
    <row r="6" customFormat="false" ht="35.05" hidden="false" customHeight="false" outlineLevel="0" collapsed="false">
      <c r="A6" s="10" t="s">
        <v>579</v>
      </c>
      <c r="B6" s="10" t="s">
        <v>580</v>
      </c>
      <c r="C6" s="10" t="s">
        <v>581</v>
      </c>
      <c r="D6" s="10" t="s">
        <v>582</v>
      </c>
      <c r="E6" s="10" t="s">
        <v>583</v>
      </c>
      <c r="F6" s="10" t="s">
        <v>584</v>
      </c>
      <c r="G6" s="10" t="s">
        <v>585</v>
      </c>
    </row>
    <row r="7" customFormat="false" ht="35.05" hidden="false" customHeight="false" outlineLevel="0" collapsed="false">
      <c r="A7" s="9" t="s">
        <v>586</v>
      </c>
      <c r="B7" s="9" t="s">
        <v>587</v>
      </c>
      <c r="C7" s="9" t="s">
        <v>588</v>
      </c>
      <c r="D7" s="9" t="s">
        <v>589</v>
      </c>
      <c r="E7" s="9" t="s">
        <v>590</v>
      </c>
      <c r="F7" s="9" t="s">
        <v>591</v>
      </c>
      <c r="G7" s="9" t="s">
        <v>592</v>
      </c>
    </row>
    <row r="8" customFormat="false" ht="35.05" hidden="false" customHeight="false" outlineLevel="0" collapsed="false">
      <c r="A8" s="10" t="s">
        <v>415</v>
      </c>
      <c r="B8" s="10" t="s">
        <v>593</v>
      </c>
      <c r="C8" s="10" t="s">
        <v>594</v>
      </c>
      <c r="D8" s="10" t="s">
        <v>595</v>
      </c>
      <c r="E8" s="10" t="s">
        <v>596</v>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57.45" hidden="false" customHeight="false" outlineLevel="0" collapsed="false">
      <c r="A10" s="10" t="s">
        <v>697</v>
      </c>
      <c r="B10" s="10" t="s">
        <v>698</v>
      </c>
      <c r="C10" s="10" t="s">
        <v>699</v>
      </c>
      <c r="D10" s="10" t="s">
        <v>700</v>
      </c>
      <c r="E10" s="10" t="s">
        <v>701</v>
      </c>
      <c r="F10" s="10" t="s">
        <v>702</v>
      </c>
      <c r="G10" s="10" t="s">
        <v>703</v>
      </c>
      <c r="H10" s="10" t="s">
        <v>704</v>
      </c>
      <c r="I10" s="10" t="s">
        <v>705</v>
      </c>
      <c r="J10" s="10" t="s">
        <v>706</v>
      </c>
      <c r="K10" s="10" t="s">
        <v>707</v>
      </c>
      <c r="L10" s="10" t="s">
        <v>708</v>
      </c>
    </row>
    <row r="11" customFormat="false" ht="35.05" hidden="false" customHeight="false" outlineLevel="0" collapsed="false">
      <c r="A11" s="9" t="s">
        <v>709</v>
      </c>
      <c r="B11" s="9" t="s">
        <v>710</v>
      </c>
      <c r="C11" s="9" t="s">
        <v>699</v>
      </c>
      <c r="D11" s="9" t="s">
        <v>711</v>
      </c>
      <c r="E11" s="9" t="s">
        <v>712</v>
      </c>
      <c r="F11" s="9" t="s">
        <v>713</v>
      </c>
      <c r="G11" s="9" t="s">
        <v>703</v>
      </c>
      <c r="H11" s="9" t="s">
        <v>714</v>
      </c>
      <c r="I11" s="9" t="s">
        <v>715</v>
      </c>
      <c r="J11" s="9" t="s">
        <v>716</v>
      </c>
      <c r="K11" s="9" t="s">
        <v>717</v>
      </c>
      <c r="L11" s="9" t="s">
        <v>718</v>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35.05" hidden="false" customHeight="false" outlineLevel="0" collapsed="false">
      <c r="A13" s="9" t="s">
        <v>728</v>
      </c>
      <c r="B13" s="9" t="s">
        <v>729</v>
      </c>
      <c r="C13" s="9" t="s">
        <v>699</v>
      </c>
      <c r="D13" s="9" t="s">
        <v>730</v>
      </c>
      <c r="E13" s="9" t="s">
        <v>731</v>
      </c>
      <c r="F13" s="9" t="s">
        <v>713</v>
      </c>
      <c r="G13" s="9" t="s">
        <v>703</v>
      </c>
      <c r="H13" s="9" t="s">
        <v>732</v>
      </c>
      <c r="I13" s="9" t="s">
        <v>715</v>
      </c>
      <c r="J13" s="9" t="s">
        <v>733</v>
      </c>
      <c r="K13" s="9" t="s">
        <v>734</v>
      </c>
      <c r="L13" s="9" t="s">
        <v>735</v>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sheetData>
  <autoFilter ref="A2:L14"/>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12" t="s">
        <v>756</v>
      </c>
      <c r="B4" s="12" t="s">
        <v>483</v>
      </c>
      <c r="C4" s="12" t="s">
        <v>757</v>
      </c>
      <c r="D4" s="10" t="s">
        <v>763</v>
      </c>
      <c r="E4" s="10" t="s">
        <v>764</v>
      </c>
      <c r="F4" s="10" t="s">
        <v>765</v>
      </c>
      <c r="G4" s="10" t="s">
        <v>766</v>
      </c>
      <c r="H4" s="12" t="s">
        <v>767</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972</v>
      </c>
    </row>
    <row r="8" customFormat="false" hidden="false" customHeight="false" outlineLevel="0" collapsed="false">
      <c r="A8" s="9" t="s">
        <v>963</v>
      </c>
      <c r="B8" s="9" t="s">
        <v>964</v>
      </c>
      <c r="C8" s="9" t="s">
        <v>965</v>
      </c>
      <c r="D8" s="9" t="s">
        <v>966</v>
      </c>
      <c r="E8" s="9" t="s">
        <v>967</v>
      </c>
      <c r="F8" s="9" t="s">
        <v>968</v>
      </c>
      <c r="G8" s="9" t="s">
        <v>969</v>
      </c>
      <c r="H8" s="9" t="s">
        <v>970</v>
      </c>
    </row>
  </sheetData>
  <autoFilter ref="A2:H5"/>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s">
        <v>773</v>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23.85" hidden="false" customHeight="false" outlineLevel="0" collapsed="false">
      <c r="A3" s="9" t="s">
        <v>789</v>
      </c>
      <c r="B3" s="12" t="s">
        <v>790</v>
      </c>
      <c r="C3" s="12" t="s">
        <v>756</v>
      </c>
      <c r="D3" s="12" t="s">
        <v>791</v>
      </c>
      <c r="E3" s="12" t="s">
        <v>792</v>
      </c>
      <c r="F3" s="12" t="s">
        <v>793</v>
      </c>
      <c r="G3" s="12" t="s">
        <v>794</v>
      </c>
      <c r="H3" s="12" t="s">
        <v>794</v>
      </c>
      <c r="I3" s="12" t="s">
        <v>794</v>
      </c>
      <c r="J3" s="12" t="s">
        <v>794</v>
      </c>
      <c r="K3" s="12" t="s">
        <v>795</v>
      </c>
      <c r="L3" s="12" t="s">
        <v>794</v>
      </c>
      <c r="M3" s="12" t="s">
        <v>794</v>
      </c>
      <c r="N3" s="12" t="s">
        <v>796</v>
      </c>
      <c r="O3" s="9" t="s">
        <v>797</v>
      </c>
      <c r="P3" s="12" t="s">
        <v>798</v>
      </c>
    </row>
  </sheetData>
  <autoFilter ref="A2:P3"/>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12" t="s">
        <v>880</v>
      </c>
    </row>
    <row r="4" customFormat="false" ht="15" hidden="false" customHeight="false" outlineLevel="0" collapsed="false">
      <c r="A4" s="10" t="s">
        <v>881</v>
      </c>
      <c r="B4" s="10" t="s">
        <v>882</v>
      </c>
      <c r="C4" s="12" t="s">
        <v>883</v>
      </c>
    </row>
    <row r="5" customFormat="false" ht="15" hidden="false" customHeight="false" outlineLevel="0" collapsed="false">
      <c r="A5" s="9" t="s">
        <v>884</v>
      </c>
      <c r="B5" s="9" t="s">
        <v>885</v>
      </c>
      <c r="C5" s="12" t="s">
        <v>886</v>
      </c>
    </row>
    <row r="6" customFormat="false" ht="15" hidden="false" customHeight="false" outlineLevel="0" collapsed="false">
      <c r="A6" s="10" t="s">
        <v>887</v>
      </c>
      <c r="B6" s="10" t="s">
        <v>888</v>
      </c>
      <c r="C6" s="12" t="s">
        <v>889</v>
      </c>
    </row>
    <row r="7" customFormat="false" ht="15" hidden="false" customHeight="false" outlineLevel="0" collapsed="false">
      <c r="A7" s="9" t="s">
        <v>890</v>
      </c>
      <c r="B7" s="9" t="s">
        <v>891</v>
      </c>
      <c r="C7" s="12" t="s">
        <v>892</v>
      </c>
    </row>
    <row r="8" customFormat="false" ht="15" hidden="false" customHeight="false" outlineLevel="0" collapsed="false">
      <c r="A8" s="10" t="s">
        <v>893</v>
      </c>
      <c r="B8" s="10" t="s">
        <v>894</v>
      </c>
      <c r="C8" s="12" t="s">
        <v>892</v>
      </c>
    </row>
    <row r="9" customFormat="false" ht="15" hidden="false" customHeight="false" outlineLevel="0" collapsed="false">
      <c r="A9" s="9" t="s">
        <v>895</v>
      </c>
      <c r="B9" s="9" t="s">
        <v>896</v>
      </c>
      <c r="C9" s="12" t="s">
        <v>897</v>
      </c>
    </row>
    <row r="10" customFormat="false" ht="23.85" hidden="false" customHeight="false" outlineLevel="0" collapsed="false">
      <c r="A10" s="10" t="s">
        <v>898</v>
      </c>
      <c r="B10" s="10" t="s">
        <v>899</v>
      </c>
      <c r="C10" s="12" t="s">
        <v>900</v>
      </c>
    </row>
    <row r="11" customFormat="false" ht="23.85" hidden="false" customHeight="false" outlineLevel="0" collapsed="false">
      <c r="A11" s="9" t="s">
        <v>901</v>
      </c>
      <c r="B11" s="9" t="s">
        <v>902</v>
      </c>
      <c r="C11" s="12" t="s">
        <v>903</v>
      </c>
    </row>
    <row r="12" customFormat="false" ht="35.05" hidden="false" customHeight="false" outlineLevel="0" collapsed="false">
      <c r="A12" s="10" t="s">
        <v>904</v>
      </c>
      <c r="B12" s="10" t="s">
        <v>905</v>
      </c>
      <c r="C12" s="12" t="s">
        <v>906</v>
      </c>
    </row>
    <row r="13" customFormat="false" ht="15" hidden="false" customHeight="false" outlineLevel="0" collapsed="false">
      <c r="A13" s="9" t="s">
        <v>907</v>
      </c>
      <c r="B13" s="9" t="s">
        <v>908</v>
      </c>
      <c r="C13" s="12" t="s">
        <v>892</v>
      </c>
    </row>
    <row r="14" customFormat="false" ht="23.85" hidden="false" customHeight="false" outlineLevel="0" collapsed="false">
      <c r="A14" s="10" t="s">
        <v>909</v>
      </c>
      <c r="B14" s="10" t="s">
        <v>910</v>
      </c>
      <c r="C14" s="12" t="s">
        <v>911</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934</v>
      </c>
      <c r="B16" s="10" t="s">
        <v>935</v>
      </c>
    </row>
    <row r="17" customFormat="false" ht="15" hidden="false" customHeight="false" outlineLevel="0" collapsed="false">
      <c r="A17" s="9" t="s">
        <v>936</v>
      </c>
      <c r="B17" s="9" t="s">
        <v>935</v>
      </c>
    </row>
    <row r="18" customFormat="false" ht="15" hidden="false" customHeight="false" outlineLevel="0" collapsed="false">
      <c r="A18" s="10" t="s">
        <v>937</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