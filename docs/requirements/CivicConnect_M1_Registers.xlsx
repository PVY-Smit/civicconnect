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Register'!$A$2:$H$32</definedName>
    <definedName function="false" hidden="true" localSheetId="16" name="_xlnm._FilterDatabase" vbProcedure="false">'Baseline Sign-off'!$A$2:$B$19</definedName>
    <definedName function="false" hidden="true" localSheetId="11" name="_xlnm._FilterDatabase" vbProcedure="false">'Change Requests'!$A$2:$P$8</definedName>
    <definedName function="false" hidden="true" localSheetId="5" name="_xlnm._FilterDatabase" vbProcedure="false">Constraints!$A$2:$D$10</definedName>
    <definedName function="false" hidden="true" localSheetId="9" name="_xlnm._FilterDatabase" vbProcedure="false">'Decision Log'!$A$2:$L$19</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Register'!$A$2:$L$32</definedName>
    <definedName function="false" hidden="true" localSheetId="6" name="_xlnm._FilterDatabase" vbProcedure="false">RTM!$A$2:$O$44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<sst xmlns="http://schemas.openxmlformats.org/spreadsheetml/2006/main" count="1761" uniqueCount="1036">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</sst>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inlineStr">
        <is>
          <t xml:space="preserve">Jean Smit - 600368 | Tristan Roets - 601764 | Darius Mushi - 577982</t>
        </is>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18</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17</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A cell with no evidence yet holds a controlled status: Planned (M3), Not yet designed, Not yet decided, Not yet implemented or Not applicable. FR-016 is traced end to end.</t>
        </is>
      </c>
      <c r="B1" s="7"/>
      <c r="C1" s="7"/>
      <c r="D1" s="7"/>
      <c r="E1" s="7"/>
      <c r="F1" s="7"/>
      <c r="G1" s="7"/>
      <c r="H1" s="7"/>
      <c r="I1" s="7"/>
      <c r="J1" s="7"/>
      <c r="K1" s="7"/>
      <c r="L1" s="7"/>
      <c r="M1" s="7"/>
      <c r="N1" s="7"/>
      <c r="O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Not yet implemented</t>
        </is>
      </c>
      <c r="M3" s="9" t="inlineStr">
        <is>
          <t xml:space="preserve">Planned (M3)</t>
        </is>
      </c>
      <c r="N3" s="9" t="inlineStr">
        <is>
          <t xml:space="preserve">RSK-05, RSK-01, ADR-002</t>
        </is>
      </c>
      <c r="O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merged)</t>
        </is>
      </c>
      <c r="M4" s="10" t="inlineStr">
        <is>
          <t xml:space="preserve">tests/authorisation-policy.test.js (#94): every Access Matrix cell. Endpoint negative tests planned (M3)</t>
        </is>
      </c>
      <c r="N4" s="10" t="inlineStr">
        <is>
          <t xml:space="preserve">RSK-05, FEC-01, ADR-006, CR-002 (#92)</t>
        </is>
      </c>
      <c r="O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Not yet implemented</t>
        </is>
      </c>
      <c r="M5" s="9" t="inlineStr">
        <is>
          <t xml:space="preserve">Planned (M3)</t>
        </is>
      </c>
      <c r="N5" s="9" t="inlineStr">
        <is>
          <t xml:space="preserve">ADR-007</t>
        </is>
      </c>
      <c r="O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Not yet implemented</t>
        </is>
      </c>
      <c r="M6" s="10" t="inlineStr">
        <is>
          <t xml:space="preserve">Planned (M3)</t>
        </is>
      </c>
      <c r="N6" s="10" t="inlineStr">
        <is>
          <t xml:space="preserve">RSK-05</t>
        </is>
      </c>
      <c r="O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Not yet implemented</t>
        </is>
      </c>
      <c r="M7" s="9" t="inlineStr">
        <is>
          <t xml:space="preserve">Planned (M3)</t>
        </is>
      </c>
      <c r="N7" s="9" t="inlineStr">
        <is>
          <t xml:space="preserve">ADR-007</t>
        </is>
      </c>
      <c r="O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Not yet implemented</t>
        </is>
      </c>
      <c r="M8" s="10" t="inlineStr">
        <is>
          <t xml:space="preserve">Planned (M3)</t>
        </is>
      </c>
      <c r="N8" s="10" t="inlineStr">
        <is>
          <t xml:space="preserve">FEC-02, ADR-007</t>
        </is>
      </c>
      <c r="O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Not yet implemented</t>
        </is>
      </c>
      <c r="M9" s="9" t="inlineStr">
        <is>
          <t xml:space="preserve">Planned (M3)</t>
        </is>
      </c>
      <c r="N9" s="9" t="inlineStr">
        <is>
          <t xml:space="preserve">ADR-007</t>
        </is>
      </c>
      <c r="O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Not yet implemented</t>
        </is>
      </c>
      <c r="M10" s="10" t="inlineStr">
        <is>
          <t xml:space="preserve">Planned (M3)</t>
        </is>
      </c>
      <c r="N10" s="10" t="inlineStr">
        <is>
          <t xml:space="preserve">DEC-004, ADR-007</t>
        </is>
      </c>
      <c r="O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Not yet implemented</t>
        </is>
      </c>
      <c r="M11" s="9" t="inlineStr">
        <is>
          <t xml:space="preserve">Planned (M3)</t>
        </is>
      </c>
      <c r="N11" s="9" t="inlineStr">
        <is>
          <t xml:space="preserve">ADR-007</t>
        </is>
      </c>
      <c r="O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Scope in src/modules/authorisation-policy/policy.js (#94, merged). List not yet implemented</t>
        </is>
      </c>
      <c r="M12" s="10" t="inlineStr">
        <is>
          <t xml:space="preserve">Scope tested in tests/authorisation-policy.test.js (#94). List planned (M3)</t>
        </is>
      </c>
      <c r="N12" s="10" t="inlineStr">
        <is>
          <t xml:space="preserve">ADR-006</t>
        </is>
      </c>
      <c r="O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Scope in src/modules/authorisation-policy/policy.js (#94, merged). Detail view not yet implemented</t>
        </is>
      </c>
      <c r="M13" s="9" t="inlineStr">
        <is>
          <t xml:space="preserve">tests/authorisation-policy.test.js (#94). The payload negative test is planned (M3)</t>
        </is>
      </c>
      <c r="N13" s="9" t="inlineStr">
        <is>
          <t xml:space="preserve">RSK-05, FEC-01, DEC-003, ADR-006</t>
        </is>
      </c>
      <c r="O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src/modules/authorisation-policy/policy.js (#94, merged)</t>
        </is>
      </c>
      <c r="M14" s="10" t="inlineStr">
        <is>
          <t xml:space="preserve">tests/authorisation-policy.test.js (#94): the query condition and the single-request check select the same requests. Endpoint negative test planned (M3)</t>
        </is>
      </c>
      <c r="N14" s="10" t="inlineStr">
        <is>
          <t xml:space="preserve">RSK-05, FEC-01, ADR-006</t>
        </is>
      </c>
      <c r="O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src/modules/authorisation-policy/policy.js (#94, merged)</t>
        </is>
      </c>
      <c r="M15" s="9" t="inlineStr">
        <is>
          <t xml:space="preserve">tests/authorisation-policy.test.js (#94). Queue planned (M3)</t>
        </is>
      </c>
      <c r="N15" s="9" t="inlineStr">
        <is>
          <t xml:space="preserve">FEC-01, ADR-006</t>
        </is>
      </c>
      <c r="O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Not yet implemented</t>
        </is>
      </c>
      <c r="M16" s="10" t="inlineStr">
        <is>
          <t xml:space="preserve">Planned (M3)</t>
        </is>
      </c>
      <c r="N16" s="10" t="inlineStr">
        <is>
          <t xml:space="preserve">FEC-06, ADR-007</t>
        </is>
      </c>
      <c r="O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src/modules/workflow-status/transition-table.js and transitions.js (#93, merged); src/modules/authorisation-policy/policy.js (#94, merged)</t>
        </is>
      </c>
      <c r="M17" s="9" t="inlineStr">
        <is>
          <t xml:space="preserve">tests/workflow-status.test.js (#93) and tests/authorisation-policy.test.js (#94). Endpoint tests planned (M3)</t>
        </is>
      </c>
      <c r="N17" s="9" t="inlineStr">
        <is>
          <t xml:space="preserve">ADR-005, ADR-006, CR-002 (#92)</t>
        </is>
      </c>
      <c r="O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src/modules/workflow-status/transition-table.js and transitions.js (#93, merged 29 September 2026)</t>
        </is>
      </c>
      <c r="M18" s="10" t="inlineStr">
        <is>
          <t xml:space="preserve">tests/workflow-status.test.js: all 196 combinations of status pair and role against a fixture exported from the Status Model register; three deliberate faults each failed the suite (#93). Refusal at the endpoint planned (M3)</t>
        </is>
      </c>
      <c r="N18" s="10" t="inlineStr">
        <is>
          <t xml:space="preserve">RSK-09, FEC-02, ADR-001, ADR-005, ADR-006, CR-002 (#92)</t>
        </is>
      </c>
      <c r="O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Scope in src/modules/authorisation-policy/policy.js (#94, merged). Recording not yet implemented</t>
        </is>
      </c>
      <c r="M19" s="9" t="inlineStr">
        <is>
          <t xml:space="preserve">Scope tested in tests/authorisation-policy.test.js (#94). Recording planned (M3)</t>
        </is>
      </c>
      <c r="N19" s="9" t="inlineStr">
        <is>
          <t xml:space="preserve">RSK-05, DEC-003, ADR-006</t>
        </is>
      </c>
      <c r="O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src/modules/workflow-status/transition-table.js and transitions.js (#93, merged)</t>
        </is>
      </c>
      <c r="M20" s="10" t="inlineStr">
        <is>
          <t xml:space="preserve">tests/workflow-status.test.js (#93)</t>
        </is>
      </c>
      <c r="N20" s="10" t="inlineStr">
        <is>
          <t xml:space="preserve">ADR-005</t>
        </is>
      </c>
      <c r="O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src/modules/workflow-status/transition-table.js and transitions.js (#93, merged)</t>
        </is>
      </c>
      <c r="M21" s="9" t="inlineStr">
        <is>
          <t xml:space="preserve">tests/workflow-status.test.js (#93)</t>
        </is>
      </c>
      <c r="N21" s="9" t="inlineStr">
        <is>
          <t xml:space="preserve">ADR-005</t>
        </is>
      </c>
      <c r="O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src/modules/workflow-status/transition-table.js and transitions.js (#93, merged)</t>
        </is>
      </c>
      <c r="M22" s="10" t="inlineStr">
        <is>
          <t xml:space="preserve">tests/workflow-status.test.js (#93)</t>
        </is>
      </c>
      <c r="N22" s="10" t="inlineStr">
        <is>
          <t xml:space="preserve">ADR-005, ADR-006, CR-002 (#92)</t>
        </is>
      </c>
      <c r="O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src/modules/authorisation-policy/policy.js (#94, merged). Priority change not yet implemented</t>
        </is>
      </c>
      <c r="M23" s="9" t="inlineStr">
        <is>
          <t xml:space="preserve">tests/authorisation-policy.test.js (#94). Priority change planned (M3)</t>
        </is>
      </c>
      <c r="N23" s="9" t="inlineStr">
        <is>
          <t xml:space="preserve">DEC-002, ADR-006, CR-002 (#92)</t>
        </is>
      </c>
      <c r="O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Not yet implemented</t>
        </is>
      </c>
      <c r="M24" s="10" t="inlineStr">
        <is>
          <t xml:space="preserve">Planned (M3)</t>
        </is>
      </c>
      <c r="N24" s="10" t="inlineStr">
        <is>
          <t xml:space="preserve">RSK-09, FEC-02, FEC-06, ADR-001</t>
        </is>
      </c>
      <c r="O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Not yet implemented</t>
        </is>
      </c>
      <c r="M25" s="9" t="inlineStr">
        <is>
          <t xml:space="preserve">Planned (M3)</t>
        </is>
      </c>
      <c r="N25" s="9" t="inlineStr">
        <is>
          <t xml:space="preserve">FEC-06, ADR-001</t>
        </is>
      </c>
      <c r="O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Not yet implemented</t>
        </is>
      </c>
      <c r="M26" s="10" t="inlineStr">
        <is>
          <t xml:space="preserve">Planned (M3)</t>
        </is>
      </c>
      <c r="N26" s="10" t="inlineStr">
        <is>
          <t xml:space="preserve">FEC-02, ADR-001</t>
        </is>
      </c>
      <c r="O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Not yet implemented</t>
        </is>
      </c>
      <c r="M27" s="9" t="inlineStr">
        <is>
          <t xml:space="preserve">Planned (M3)</t>
        </is>
      </c>
      <c r="N27" s="9" t="inlineStr">
        <is>
          <t xml:space="preserve">ADR-001, ADR-007</t>
        </is>
      </c>
      <c r="O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src/modules/authorisation-policy/policy.js (#94, merged)</t>
        </is>
      </c>
      <c r="M28" s="10" t="inlineStr">
        <is>
          <t xml:space="preserve">tests/authorisation-policy.test.js (#94): the Access Matrix row denies every role. Endpoint test planned (M3)</t>
        </is>
      </c>
      <c r="N28" s="10" t="inlineStr">
        <is>
          <t xml:space="preserve">ADR-006</t>
        </is>
      </c>
      <c r="O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Not yet implemented</t>
        </is>
      </c>
      <c r="M29" s="9" t="inlineStr">
        <is>
          <t xml:space="preserve">Planned (M3)</t>
        </is>
      </c>
      <c r="N29" s="9" t="inlineStr">
        <is>
          <t xml:space="preserve">ADR-007</t>
        </is>
      </c>
      <c r="O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Not yet implemented</t>
        </is>
      </c>
      <c r="M30" s="10" t="inlineStr">
        <is>
          <t xml:space="preserve">Planned (M3)</t>
        </is>
      </c>
      <c r="N30" s="10" t="inlineStr">
        <is>
          <t xml:space="preserve">ADR-007</t>
        </is>
      </c>
      <c r="O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Not yet implemented</t>
        </is>
      </c>
      <c r="M31" s="9" t="inlineStr">
        <is>
          <t xml:space="preserve">Planned (M3)</t>
        </is>
      </c>
      <c r="N31" s="9" t="inlineStr">
        <is>
          <t xml:space="preserve">DEC-005, SC-D-01, FEC-03, ADR-008</t>
        </is>
      </c>
      <c r="O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Not yet implemented</t>
        </is>
      </c>
      <c r="M32" s="10" t="inlineStr">
        <is>
          <t xml:space="preserve">Planned (M3): 20 timed retrievals against a seeded 5 000-request dataset</t>
        </is>
      </c>
      <c r="N32" s="10" t="inlineStr">
        <is>
          <t xml:space="preserve">FEC-04, FEC-06, ADR-001, ADR-006</t>
        </is>
      </c>
      <c r="O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Not yet implemented</t>
        </is>
      </c>
      <c r="M33" s="9" t="inlineStr">
        <is>
          <t xml:space="preserve">Planned (M3)</t>
        </is>
      </c>
      <c r="N33" s="9" t="inlineStr">
        <is>
          <t xml:space="preserve">ADR-007</t>
        </is>
      </c>
      <c r="O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endpoint in src/app.js (#90, open)</t>
        </is>
      </c>
      <c r="M34" s="10" t="inlineStr">
        <is>
          <t xml:space="preserve">tests/health.test.js (#90, open). Availability measurement planned (M3)</t>
        </is>
      </c>
      <c r="N34" s="10" t="inlineStr">
        <is>
          <t xml:space="preserve">RSK-02, FEC-05, DEC-010</t>
        </is>
      </c>
      <c r="O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Not yet implemented</t>
        </is>
      </c>
      <c r="M35" s="9" t="inlineStr">
        <is>
          <t xml:space="preserve">Planned (M3)</t>
        </is>
      </c>
      <c r="N35" s="9" t="inlineStr">
        <is>
          <t xml:space="preserve">RSK-05, ADR-002</t>
        </is>
      </c>
      <c r="O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src/modules/authorisation-policy/policy.js (#94, merged)</t>
        </is>
      </c>
      <c r="M36" s="10" t="inlineStr">
        <is>
          <t xml:space="preserve">tests/authorisation-policy.test.js (#94): all sixty Access Matrix cells; four deliberate faults each failed the suite. Endpoint negative tests planned (M3)</t>
        </is>
      </c>
      <c r="N36" s="10" t="inlineStr">
        <is>
          <t xml:space="preserve">RSK-05, FEC-01, ADR-006, CR-002 (#92)</t>
        </is>
      </c>
      <c r="O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Not yet implemented</t>
        </is>
      </c>
      <c r="M37" s="9" t="inlineStr">
        <is>
          <t xml:space="preserve">Planned (M3)</t>
        </is>
      </c>
      <c r="N37" s="9" t="inlineStr">
        <is>
          <t xml:space="preserve">DEC-010</t>
        </is>
      </c>
      <c r="O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workflow (#87), merged on 30 September 2026</t>
        </is>
      </c>
      <c r="M38" s="10" t="inlineStr">
        <is>
          <t xml:space="preserve">The secret scan runs on every pull request and push to main. It passed on #87 on 29 September 2026 and on main on 30 September 2026</t>
        </is>
      </c>
      <c r="N38" s="10" t="inlineStr">
        <is>
          <t xml:space="preserve">RSK-11</t>
        </is>
      </c>
      <c r="O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Access scope in src/modules/authorisation-policy/policy.js (#94, merged)</t>
        </is>
      </c>
      <c r="M39" s="9" t="inlineStr">
        <is>
          <t xml:space="preserve">Planned (M3)</t>
        </is>
      </c>
      <c r="N39" s="9" t="inlineStr">
        <is>
          <t xml:space="preserve">RSK-05, RSK-10, FEC-04, ADR-006</t>
        </is>
      </c>
      <c r="O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Not yet implemented</t>
        </is>
      </c>
      <c r="M40" s="10" t="inlineStr">
        <is>
          <t xml:space="preserve">Planned (M3)</t>
        </is>
      </c>
      <c r="N40" s="10" t="inlineStr">
        <is>
          <t xml:space="preserve">-</t>
        </is>
      </c>
      <c r="O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Not yet implemented</t>
        </is>
      </c>
      <c r="M41" s="9" t="inlineStr">
        <is>
          <t xml:space="preserve">Planned (M3)</t>
        </is>
      </c>
      <c r="N41" s="9" t="inlineStr">
        <is>
          <t xml:space="preserve">-</t>
        </is>
      </c>
      <c r="O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Not yet implemented</t>
        </is>
      </c>
      <c r="M42" s="10" t="inlineStr">
        <is>
          <t xml:space="preserve">Planned (M3): an audit entry per change type, and a reconciliation query</t>
        </is>
      </c>
      <c r="N42" s="10" t="inlineStr">
        <is>
          <t xml:space="preserve">RSK-09, ADR-001, ADR-005</t>
        </is>
      </c>
      <c r="O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tests/ (#93, #94, merged)</t>
        </is>
      </c>
      <c r="M43" s="9" t="inlineStr">
        <is>
          <t xml:space="preserve">22 tests pass locally. No CI check has run yet (#67)</t>
        </is>
      </c>
      <c r="N43" s="9" t="inlineStr">
        <is>
          <t xml:space="preserve">RSK-03, ADR-002</t>
        </is>
      </c>
      <c r="O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Not yet implemented</t>
        </is>
      </c>
      <c r="M44" s="10" t="inlineStr">
        <is>
          <t xml:space="preserve">Planned: a recorded cost review before release</t>
        </is>
      </c>
      <c r="N44" s="10" t="inlineStr">
        <is>
          <t xml:space="preserve">RSK-02, FEC-05, DEC-010</t>
        </is>
      </c>
      <c r="O44" s="10" t="s">
        <v>182</v>
      </c>
    </row>
  </sheetData>
  <autoFilter ref="A2:O44"/>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690.2"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On the #90 branch, which has not merged, the bootstrap overrides deepmerge-ts to 8.0.2 and mysql2 to 3.24.4, and npm audit reports 0 vulnerabilities at 9529e80. The overrides are removed when a Prisma 7 release fixes issue #30295. npm audit --audit-level=high runs on every pull request once the CI workflow (#110) merges, so a new advisory fails the build.
M1 baseline: Make dependency-ecosystem maturity a criterion in DEC-008. Adopt lockfiles and automated dependency and vulnerability checking from the first construction Pull Request. Require any new dependency to be justified in the Pull Request that introduces it.</t>
        </is>
      </c>
      <c r="I14" s="10" t="inlineStr">
        <is>
          <t xml:space="preserve">M2 (6 October 2026): Keep the overrides while Prisma 7 pins the affected versions, and remove them when a Prisma 7 release fixes #30295. If an override breaks Prisma, return to the last working set, record the advisory as an accepted residual risk with the owner's reasons, and raise a change to the stack under ADR-002. If a new advisory has no override, replace the component.
M1 baseline: Remove or replace the affected component, assess exposure, and record the residual risk rather than claiming the system is clean.</t>
        </is>
      </c>
      <c r="J14" s="10" t="s">
        <v>1009</v>
      </c>
      <c r="K14" s="10" t="inlineStr">
        <is>
          <t xml:space="preserve">Materialised - active. Found 28 September 2026: Prisma 7.10.0 pins deepmerge-ts 7.1.5 and mysql2 3.15.3, which carry high-severity advisories no 7.x release has fixed (Prisma issue #30295). On the #90 branch, which has not merged, the bootstrap overrides them to deepmerge-ts 8.0.2 and mysql2 3.24.4, and npm audit reports 0 vulnerabilities (9529e80; again at fbd12e9 on 9 October 2026). The audit gate arrives once the CI workflow (#110) merges. The status becomes Materialised - mitigated when both have merged. Probability re-scored from 2 to 3 under #68 and confirmed by the owner, Darius Mushi, on #106, 8 October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row r="32" customFormat="false" ht="46.73" hidden="false" customHeight="false" outlineLevel="0" collapsed="false">
      <c r="A32" s="10" t="inlineStr">
        <is>
          <t xml:space="preserve">RSK-30</t>
        </is>
      </c>
      <c r="B32" s="10" t="inlineStr">
        <is>
          <t xml:space="preserve">The BC Desktop campus environment differs from the Node 24 and PostgreSQL 16 environment the stack was verified on, so the application does not install or run on campus machines.</t>
        </is>
      </c>
      <c r="C32" s="10" t="inlineStr">
        <is>
          <t xml:space="preserve">CR-004 replaced the campus run with a check repeated by a second member and in CI, because no verified campus run exists (#64). CON-07: the campus cannot guarantee the stack is available.</t>
        </is>
      </c>
      <c r="D32" s="10" t="n">
        <v>3</v>
      </c>
      <c r="E32" s="10" t="n">
        <v>3</v>
      </c>
      <c r="F32" s="13" t="n">
        <f aca="false">D32*E32</f>
        <v>9</v>
      </c>
      <c r="G32" s="13" t="str">
        <f aca="false">IF(F32&gt;=20,"Critical",IF(F32&gt;=12,"High",IF(F32&gt;=6,"Medium","Low")))</f>
        <v>Medium</v>
      </c>
      <c r="H32" s="10" t="inlineStr">
        <is>
          <t xml:space="preserve">npm ci installs from the committed lockfile. #90's engines field is to limit Node to version 24 (&gt;=24 &lt;25, with engine-strict), as agreed on #90. Once the CI workflow (#110) merges, it runs the check on Node 24 against PostgreSQL 16 on every pull request. Run the campus check when lab access allows and record the Node version on #64.</t>
        </is>
      </c>
      <c r="I32" s="10" t="inlineStr">
        <is>
          <t xml:space="preserve">Demonstrate from a team member's machine on the simulated staging environment (#122), and record the campus difference as a limitation in the release summary.</t>
        </is>
      </c>
      <c r="J32" s="10" t="inlineStr">
        <is>
          <t xml:space="preserve">Darius Mushi</t>
        </is>
      </c>
      <c r="K32" s="10" t="inlineStr">
        <is>
          <t xml:space="preserve">Open</t>
        </is>
      </c>
      <c r="L32" s="10" t="inlineStr">
        <is>
          <t xml:space="preserve">ADR-002, CR-004, DEC-016, CON-07, RSK-01, RSK-02, #64, #90, #107</t>
        </is>
      </c>
    </row>
  </sheetData>
  <autoFilter ref="A2:L32"/>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M3 (CR-004, approved 12 October 2026): DEC-016 replaces the two conditions below with an environment check repeated by a member other than the author and then by CI, and a proof of concept that persists a User from the ADR-007 model. Gate 3 is carried as RSK-30.
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M3 (CR-004, approved 12 October 2026): under DEC-016, what is still required is the amended conditions, not gate 3; see DEC-016.
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M3 (CR-004, approved 12 October 2026): under DEC-016, #90 merges after the amended conditions instead; see DEC-016.
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row r="18" customFormat="false" ht="70.1" hidden="false" customHeight="false" outlineLevel="0" collapsed="false">
      <c r="A18" s="10" t="inlineStr">
        <is>
          <t xml:space="preserve">DEC-016</t>
        </is>
      </c>
      <c r="B18" s="10" t="inlineStr">
        <is>
          <t xml:space="preserve">Bootstrap merge conditions, amending DEC-008</t>
        </is>
      </c>
      <c r="C18" s="10" t="inlineStr">
        <is>
          <t xml:space="preserve">Decided (M3, CR-004, #107). CR-004 approved on #129 by Darius Mushi on 8 October 2026 and Tristan Roets on 12 October 2026</t>
        </is>
      </c>
      <c r="D18" s="10" t="inlineStr">
        <is>
          <t xml:space="preserve">ADR-002 (DEC-008) let the bootstrap (#90) merge only after gate 3 closed on a BC Desktop machine and the RSK-01 proof of concept passed. By 5 October 2026 neither was shown: the verification logs on #64 disagree, and the proof of concept persisted to a temporary table. Every M3 implementation issue depends on the bootstrap.</t>
        </is>
      </c>
      <c r="E18" s="10" t="inlineStr">
        <is>
          <t xml:space="preserve">CON-07 platform availability; CON-02 schedule, with M3 due 14 October 2026; RSK-01; NFR-004.</t>
        </is>
      </c>
      <c r="F18" s="10" t="inlineStr">
        <is>
          <t xml:space="preserve">(a) Keep both conditions and wait for a verified campus run. (b) Replace the campus run with a check a second member repeats and CI then runs on every pull request, keep the campus check as a risk, and restate the proof of concept against the data model. (c) Remove the conditions.</t>
        </is>
      </c>
      <c r="G18" s="10" t="inlineStr">
        <is>
          <t xml:space="preserve">(b), recorded as CR-004 and as a dated amendment to ADR-002.</t>
        </is>
      </c>
      <c r="H18" s="10" t="inlineStr">
        <is>
          <t xml:space="preserve">A check another member can repeat, and that CI then repeats on every pull request, is stronger evidence than a single run nobody else can see. (a) holds all of M3 on lab access the team does not control. (c) drops the evidence ADR-002 asked for.</t>
        </is>
      </c>
      <c r="I18" s="10" t="inlineStr">
        <is>
          <t xml:space="preserve">No verified run on the campus image before construction starts, so the campus environment can still differ.</t>
        </is>
      </c>
      <c r="J18" s="10" t="inlineStr">
        <is>
          <t xml:space="preserve">RSK-30: the campus environment differs from the verified Node 24 and PostgreSQL 16 environment.</t>
        </is>
      </c>
      <c r="K18" s="10" t="inlineStr">
        <is>
          <t xml:space="preserve">The #64 verification logs (30 September 2026); the reviews on #90; CR-004 and the ADR-002 amendment (#107).</t>
        </is>
      </c>
      <c r="L18" s="10" t="inlineStr">
        <is>
          <t xml:space="preserve">#90 merges under #108 once both amended conditions are shown on it: the environment check, run by a member other than the author and posted on #90, and the proof of concept persisting a User from the ADR-007 model. Once #110 merges, the CI workflow repeats the check on every pull request. The campus check is run when lab access allows and recorded on #64.</t>
        </is>
      </c>
    </row>
    <row r="19" customFormat="false" ht="175.25" hidden="false" customHeight="false" outlineLevel="0" collapsed="false">
      <c r="A19" s="10" t="inlineStr">
        <is>
          <t xml:space="preserve">DEC-017</t>
        </is>
      </c>
      <c r="B19" s="10" t="inlineStr">
        <is>
          <t xml:space="preserve">Submission and workflow details the M1 baseline leaves open: the reference format, the urgency scale, the field limits and who sees priority</t>
        </is>
      </c>
      <c r="C19" s="10" t="inlineStr">
        <is>
          <t xml:space="preserve">Decided (M3, #131). Agreed by all three members: Jean Smit and Tristan Roets on 7 October 2026, Darius Mushi on 8 October 2026</t>
        </is>
      </c>
      <c r="D19" s="10" t="inlineStr">
        <is>
          <t xml:space="preserve">FR-008's acceptance criterion refers to "the agreed format" for the reference, and no baseline artefact states one. FR-005 and FR-021 require a reported urgency and a priority, with no scale. The schema limits the title (VARCHAR(200)) and leaves description and location unlimited. FR-021 says Coordinators see both values and is silent on the Requester. The submission and workflow services (#131, #132) and the screens (#133 to #135) each need these fixed.</t>
        </is>
      </c>
      <c r="E19" s="10" t="inlineStr">
        <is>
          <t xml:space="preserve">DEC-004: the reference is issued at submission, unique, never reused, and not a visible counter. ADR-007: the reference sequence and its unique constraint. FR-012. NFR-007: no secret in the source. DEC-002.</t>
        </is>
      </c>
      <c r="F19" s="10" t="inlineStr">
        <is>
          <t xml:space="preserve">Reference: (a) a visible counter, which DEC-004 rejects because it reveals volume and invites guessing; (b) a random reference retried on collision, which gives up the sequence's guarantee of uniqueness; (c) the sequence passed through a keyed permutation into a fixed format. Urgency and priority: a numeric scale, or three named levels.</t>
        </is>
      </c>
      <c r="G19" s="10" t="inlineStr">
        <is>
          <t xml:space="preserve">1. Reference: CC- and eight digits in two groups of four, for example CC-4829-1573, from ADR-007's sequence through a keyed permutation. The key (REFERENCE_KEY) is configuration, never in the source, and stays fixed for the life of the data. DEC-004 is unchanged. 2. Reported urgency: Low, Medium, High, with the descriptions shown on the form. 3. Field limits: title 200 characters, description 4,000, location 300, each counted after trimming, and every field at least one non-blank character. 4. Priority: the same Low, Medium, High scale, set only by a Coordinator (FR-021). Staff, Coordinators and Managers see priority and assignee; a Requester sees the urgency they reported.</t>
        </is>
      </c>
      <c r="H19" s="10" t="inlineStr">
        <is>
          <t xml:space="preserve">(c) keeps the uniqueness the sequence and the unique constraint give, while one reference, or a run of them, reveals neither its position nor the volume. Three named levels are a choice a requester can make without guidance, and one scale for urgency and priority lets a Coordinator compare them directly (DEC-002). The title limit is the schema's; the others are what a request needs. Showing the Requester only what they supplied keeps FR-021's separation of urgency and priority.</t>
        </is>
      </c>
      <c r="I19" s="10" t="inlineStr">
        <is>
          <t xml:space="preserve">The key cannot change once there is data: a different key is a different permutation, so a new request could land on an existing reference and the insert would be refused. Capacity is 99,999,999 references. A Requester does not see how their request was prioritised.</t>
        </is>
      </c>
      <c r="J19" s="10" t="inlineStr">
        <is>
          <t xml:space="preserve">If the key leaks, the volume DEC-004 guards is exposed, but access is still governed by FR-012's scope check on every lookup. A Requester may feel their urgency was ignored, which DEC-002 records.</t>
        </is>
      </c>
      <c r="K19" s="10" t="inlineStr">
        <is>
          <t xml:space="preserve">The proposal on #131 (issuecomment-6010035116, 6 October 2026); the answers of Jean Smit and Tristan Roets on #131 (7 October 2026) and of Darius Mushi in his review of #131 (8 October 2026); the tests in #131 and #132.</t>
        </is>
      </c>
      <c r="L19" s="10" t="inlineStr">
        <is>
          <t xml:space="preserve">Each value is held in one place in the code (reference.js, validation.js, views.js and the workflow service), so a change is one line and the tests follow it. Changing any of the four is a new decision.</t>
        </is>
      </c>
    </row>
  </sheetData>
  <autoFilter ref="A2:L19"/>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None found in review.</t>
        </is>
      </c>
    </row>
    <row r="30" customFormat="false" ht="140" hidden="false" customHeight="true" outlineLevel="0" collapsed="false">
      <c r="A30" s="9" t="inlineStr">
        <is>
          <t xml:space="preserve">16 October 2026</t>
        </is>
      </c>
      <c r="B30" s="9" t="inlineStr">
        <is>
          <t xml:space="preserve">Darius Mushi</t>
        </is>
      </c>
      <c r="C30" s="9" t="inlineStr">
        <is>
          <t xml:space="preserve">Claude Sonnet 5.5 (Anthropic)</t>
        </is>
      </c>
      <c r="D30" s="9" t="inlineStr">
        <is>
          <t xml:space="preserve">Drafting PED v3.0 s28 (M2 baseline conformance), s30 (construction and configuration) and s31 (CI and automated verification) for the M3 submission (#127).</t>
        </is>
      </c>
      <c r="E30" s="9" t="inlineStr">
        <is>
          <t xml:space="preserve">Proposed the structure and text of the three sections from the PED, the M3 brief and pull request #145, and listed the facts it could not confirm as open questions. Wrote the final text after I supplied repository evidence, and gave the PowerShell commands used to insert it into the PED markdown.</t>
        </is>
      </c>
      <c r="F30" s="9" t="inlineStr">
        <is>
          <t xml:space="preserve">Cross-checked each statement against live repository output: the src/modules listing, package.json, .npmrc, ruleset 22248862 read back from the GitHub API, a full-history gitleaks detect (267 commits, no leaks), the state of issues #27, #36, #37, #48 and #49, the merged pull requests, the workflow file, and the review history of #90 and #129. Checked the insertion with Select-String for leftover placeholders and with git diff --stat. Jean Smit then checked the three assumptions the repository could not show.</t>
        </is>
      </c>
      <c r="G30" s="9" t="inlineStr">
        <is>
          <t xml:space="preserve">Accepted after revision. Facts that could not be confirmed were kept as open questions until the repository evidence or Jean's check was supplied, instead of being guessed.</t>
        </is>
      </c>
      <c r="H30" s="9" t="inlineStr">
        <is>
          <t xml:space="preserve">The first draft left unverified facts in brackets. Checking the repository corrected three errors: the persistence module only re-exports the Prisma client, the first migration creates only the User table, and a PostgreSQL 18.6 run does not meet the ADR-002 amendment, which needs 16. The FR-004 deviation (a Manager-assisted one-time code, not a reset link) was added after checking #146 against the requirement. Jean's check corrected one statement: the draft said both reset limitations were in the Technical Debt Register, but only the Manager-assisted reset is recorded (TD-004, #144, in review) and the missing rate limit is not, so s28.2 now says that.</t>
        </is>
      </c>
    </row>
    <row r="31" customFormat="false" ht="160" hidden="false" customHeight="true" outlineLevel="0" collapsed="false">
      <c r="A31" s="9" t="inlineStr">
        <is>
          <t xml:space="preserve">16 October 2026</t>
        </is>
      </c>
      <c r="B31" s="9" t="inlineStr">
        <is>
          <t xml:space="preserve">Jean Smit</t>
        </is>
      </c>
      <c r="C31" s="9" t="inlineStr">
        <is>
          <t xml:space="preserve">Claude Code (Anthropic)</t>
        </is>
      </c>
      <c r="D31" s="9" t="inlineStr">
        <is>
          <t xml:space="preserve">M3 implementation and tests, 6 to 16 October 2026: sign-in and sessions (#130), request submission, the requester's views and the workflow service (#131, #132), the client screens (#133 to #135), CR-002 (#136), the test catalogue and its check (#137), the browser journeys (#138), the performance scripts (#139), the password reset (#146), the API suites (#147) and the review follow-ups (#149 to #153).</t>
        </is>
      </c>
      <c r="E31" s="9" t="inlineStr">
        <is>
          <t xml:space="preserve">Wrote the code and the tests from the requirements, the ADRs, DEC-017 and the registers, ran the suites, and drafted the commit messages and the pull request descriptions.</t>
        </is>
      </c>
      <c r="F31" s="9" t="inlineStr">
        <is>
          <t xml:space="preserve">Each new test for the services, the API suites and the scripts was shown to fail with the defect it guards against put back (s32.2). The suites were run on each branch and on main at d1af49a, and tools/check_test_catalogue.mjs --strict ties each test to its catalogue record. The RSK-01 test and the draft migrations were run against a local PostgreSQL 16.13. Every pull request is reviewed by the other two members before it merges.</t>
        </is>
      </c>
      <c r="G31" s="9" t="inlineStr">
        <is>
          <t xml:space="preserve">Accepted after revision. #147 and #149 to #153 are still in review.</t>
        </is>
      </c>
      <c r="H31" s="9" t="inlineStr">
        <is>
          <t xml:space="preserve">Review and testing found real defects in the output, each fixed with a regression test: an emoji counted as two characters in the length limits (968a44f), a NUL character in a text field causing a server error (0efac6a), and the assignee id sent in the wrong form (c84b7c1). In the follow-ups, the performance scripts first waited on /api/health where the server serves /health, the catalogue check treated any .env file as a configured database, and a fault in the password-reset concurrency limit went undetected until a test for it was added. One commit message stated 76 tests where 72 ran, and was corrected before it was pushed.</t>
        </is>
      </c>
    </row>
    <row r="32" customFormat="false" ht="160" hidden="false" customHeight="true" outlineLevel="0" collapsed="false">
      <c r="A32" s="9" t="inlineStr">
        <is>
          <t xml:space="preserve">16 October 2026</t>
        </is>
      </c>
      <c r="B32" s="9" t="inlineStr">
        <is>
          <t xml:space="preserve">Jean Smit</t>
        </is>
      </c>
      <c r="C32" s="9" t="inlineStr">
        <is>
          <t xml:space="preserve">Claude Code (Anthropic)</t>
        </is>
      </c>
      <c r="D32" s="9" t="inlineStr">
        <is>
          <t xml:space="preserve">Drafting PED v3.0 s27 and s32 to s36, completing the submission information on 16 October 2026, and drafting s29 in place of Tristan Roets for the submitted build (#127, #145).</t>
        </is>
      </c>
      <c r="E32" s="9" t="inlineStr">
        <is>
          <t xml:space="preserve">Drafted the sections from the M3 brief, the registers, the test catalogue and the repository, filled the placeholders at submission, and built the Word document and the PDF.</t>
        </is>
      </c>
      <c r="F32" s="9" t="inlineStr">
        <is>
          <t xml:space="preserve">Each count, date, commit and pull request number was read back from the repository or GitHub: merge dates and states with gh, test counts from the runs on main at d1af49a, and register text from the workbook. tools/ped_fidelity.py --m1-only confirmed that sections 1 to 17 differ only where the 3.0 row says (68 lines). The PDF was rendered page by page and checked for placeholders, layout and where each section starts.</t>
        </is>
      </c>
      <c r="G32" s="9" t="inlineStr">
        <is>
          <t xml:space="preserve">Accepted after revision.</t>
        </is>
      </c>
      <c r="H32" s="9" t="inlineStr">
        <is>
          <t xml:space="preserve">Three statements were wrong and were corrected before submission: s36 said both reset limitations were in the Technical Debt Register, where only TD-004 is (#144); the run instructions in s27.1 left out the database steps the RSK-01 test needs; and the first draft of s29 said all five changes were made in M3, where two are still proposed.</t>
        </is>
      </c>
    </row>
  </sheetData>
  <autoFilter ref="A2:H32"/>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at 3b2def7,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and implemented. Approved by all three members on #69, 30 September 2026: fix the matrix for all four cells. Implemented under #92 (6 October 2026): the Access Matrix sheet now refuses the four cells, the test fixture is re-exported from it, and the policy's list of conflicts is empty. PED s8.3 is corrected in PED v3.0 (#127); until then its reading note records the correction.</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row r="6" customFormat="false" ht="226.1" hidden="false" customHeight="false" outlineLevel="0" collapsed="false">
      <c r="A6" s="10" t="inlineStr">
        <is>
          <t xml:space="preserve">CR-004</t>
        </is>
      </c>
      <c r="B6" s="10" t="inlineStr">
        <is>
          <t xml:space="preserve">Jean Smit</t>
        </is>
      </c>
      <c r="C6" s="10" t="inlineStr">
        <is>
          <t xml:space="preserve">5 October 2026</t>
        </is>
      </c>
      <c r="D6" s="10" t="inlineStr">
        <is>
          <t xml:space="preserve">Amend the two conditions ADR-002 sets before the bootstrap (#90) merges (#107). Condition 1, gate 3 on a BC Desktop machine, becomes a reproducible check: a member other than the author runs npm ci, prisma generate, prisma migrate deploy and npm test from a fresh clone with no node_modules, on Node 24 against PostgreSQL 16, and posts the output on #90 with the operating system, node -v and where PostgreSQL ran. The CI workflow repeats it on every pull request once #110 merges. The campus check becomes RSK-30. Condition 2 is restated: the RSK-01 proof of concept persists a User from the ADR-007 model through Prisma and verifies an argon2 sign-in.</t>
        </is>
      </c>
      <c r="E6" s="10" t="inlineStr">
        <is>
          <t xml:space="preserve">Neither condition could be shown as met. The two verification logs on #64 disagree: the log with a screenshot ran on a member's own machine on Node 25.9.0 with mock data, and the log that reports a campus run has no screenshot or command output. The proof of concept in #90 persists to a table the test creates and drops, outside the data model. M3 is due 14 October 2026 and every M3 implementation issue depends on the bootstrap.</t>
        </is>
      </c>
      <c r="F6" s="10" t="inlineStr">
        <is>
          <t xml:space="preserve">None. NFR-004 and the substance of the RSK-01 proof of concept are unchanged.</t>
        </is>
      </c>
      <c r="G6" s="10" t="inlineStr">
        <is>
          <t xml:space="preserve">ADR-002: the merge conditions under Decision, recorded as a dated amendment. The original conditions stay in the record.</t>
        </is>
      </c>
      <c r="H6" s="10" t="inlineStr">
        <is>
          <t xml:space="preserve">Data: the proof of concept uses the User entity from ADR-007 instead of a temporary table.</t>
        </is>
      </c>
      <c r="I6" s="10" t="inlineStr">
        <is>
          <t xml:space="preserve">None. The argon2 check is kept.</t>
        </is>
      </c>
      <c r="J6" s="10" t="inlineStr">
        <is>
          <t xml:space="preserve">The environment check becomes repeatable: a second member's run on #90, then the CI workflow (#110) on every pull request, on Node 24 against PostgreSQL 16.</t>
        </is>
      </c>
      <c r="K6" s="10" t="inlineStr">
        <is>
          <t xml:space="preserve">None</t>
        </is>
      </c>
      <c r="L6" s="10" t="inlineStr">
        <is>
          <t xml:space="preserve">Unblocks #108, and through it every M3 implementation issue. The timebox was #108's due date, 7 October 2026. The proof of concept on the User model was pushed to #90 on 11 October 2026 (e162f28), four days after it; the second member's environment check is still to be posted. The date is not moved: the delay is recorded here and in ADR-002's amendment.</t>
        </is>
      </c>
      <c r="M6" s="10" t="inlineStr">
        <is>
          <t xml:space="preserve">None</t>
        </is>
      </c>
      <c r="N6" s="10" t="inlineStr">
        <is>
          <t xml:space="preserve">Adds RSK-30 for the unverified campus environment. RSK-01 and RSK-02 are unchanged.</t>
        </is>
      </c>
      <c r="O6" s="10" t="inlineStr">
        <is>
          <t xml:space="preserve">ACCEPT</t>
        </is>
      </c>
      <c r="P6" s="10" t="inlineStr">
        <is>
          <t xml:space="preserve">Approved. Darius Mushi approved CR-004 on #129 on 8 October 2026, subject to DEC-016's later consequence naming both amended conditions, which it does. Tristan Roets approved it on #129 on 12 October 2026.</t>
        </is>
      </c>
    </row>
    <row r="7" customFormat="false" ht="297.5" hidden="false" customHeight="false" outlineLevel="0" collapsed="false">
      <c r="A7" s="10" t="inlineStr">
        <is>
          <t xml:space="preserve">CR-005</t>
        </is>
      </c>
      <c r="B7" s="10" t="inlineStr">
        <is>
          <t xml:space="preserve">Jean Smit</t>
        </is>
      </c>
      <c r="C7" s="10" t="inlineStr">
        <is>
          <t xml:space="preserve">7 October 2026</t>
        </is>
      </c>
      <c r="D7" s="10" t="inlineStr">
        <is>
          <t xml:space="preserve">Record the changes PED v2.0 makes to M1 sections (1 to 17) that CR-001 to CR-003 do not cover (#95). 1. The cover updated for each version: title, milestone, document line and baseline status. 2. A Milestone 2 boundary note added under the M1 one. 3. A paragraph added to s2 on how the M1 and M2 sections relate. 4. Reading notes added to s10, s13 and s14.2, each saying the section shows the register as at M1 and pointing to the live register in the workbook. 5. Four references added to s17, for s20, s24 and s26.2. 6. The M1 template instruction left under the version table in v1.0 removed. 7. The team's M1 sign-off recorded in s16 as its recommendation (#69), with the assessor's gate decision pending. Item 1 was widened on 8 October 2026 from the v2.0 cover alone, so that v3.0 (#145) and v4.0 update the same cover rows under this change.</t>
        </is>
      </c>
      <c r="E7" s="10" t="inlineStr">
        <is>
          <t xml:space="preserve">v2.0 continues the same document (Master Brief s6), so the M1 sections must stay readable next to the M2 ones without being rewritten. Items 1 to 4 tell a reader what changed and where the live versions are; item 5 supports claims made in the M2 sections; item 6 removes text that was never meant to be submitted; item 7 records a decision the team took on #69. A change request per version for the cover would add records without adding control, and the version row in s1 records each cover change.</t>
        </is>
      </c>
      <c r="F7" s="10" t="inlineStr">
        <is>
          <t xml:space="preserve">None. Every M1 table keeps its content.</t>
        </is>
      </c>
      <c r="G7" s="10" t="inlineStr">
        <is>
          <t xml:space="preserve">None</t>
        </is>
      </c>
      <c r="H7" s="10" t="inlineStr">
        <is>
          <t xml:space="preserve">None</t>
        </is>
      </c>
      <c r="I7" s="10" t="inlineStr">
        <is>
          <t xml:space="preserve">None</t>
        </is>
      </c>
      <c r="J7" s="10" t="inlineStr">
        <is>
          <t xml:space="preserve">tools/ped_fidelity.py --m1-only lists every difference from v1.0 in sections 1 to 17, so a reviewer can compare it with the version row: 55 lines on v2.0, 60 on v3.0.</t>
        </is>
      </c>
      <c r="K7" s="10" t="inlineStr">
        <is>
          <t xml:space="preserve">None</t>
        </is>
      </c>
      <c r="L7" s="10" t="inlineStr">
        <is>
          <t xml:space="preserve">None</t>
        </is>
      </c>
      <c r="M7" s="10" t="inlineStr">
        <is>
          <t xml:space="preserve">None</t>
        </is>
      </c>
      <c r="N7" s="10" t="inlineStr">
        <is>
          <t xml:space="preserve">None. The reading notes point to registers changed under their own pull requests.</t>
        </is>
      </c>
      <c r="O7" s="10" t="inlineStr">
        <is>
          <t xml:space="preserve">ACCEPT</t>
        </is>
      </c>
      <c r="P7" s="10" t="inlineStr">
        <is>
          <t xml:space="preserve">Approved. Tristan Roets agreed to the seven items on #95 on 7 October 2026, and to item 1 as widened on 12 October 2026. Darius Mushi agreed on #95 on 18 October 2026, after checking that the changes to sections 1 to 17 are limited to those listed here and that no other M1 content is altered.</t>
        </is>
      </c>
    </row>
    <row r="8" customFormat="false" ht="357.0" hidden="false" customHeight="false" outlineLevel="0" collapsed="false">
      <c r="A8" s="10" t="inlineStr">
        <is>
          <t xml:space="preserve">CR-006</t>
        </is>
      </c>
      <c r="B8" s="10" t="inlineStr">
        <is>
          <t xml:space="preserve">Jean Smit</t>
        </is>
      </c>
      <c r="C8" s="10" t="inlineStr">
        <is>
          <t xml:space="preserve">7 October 2026</t>
        </is>
      </c>
      <c r="D8" s="10" t="inlineStr">
        <is>
          <t xml:space="preserve">Add five columns to the RTM after column N, so that Status stays the last column (#126). 1. Test cases (M3): the IDs of the records in docs/quality/test-catalogue.md that verify the requirement's acceptance criterion. 2. Expected result (M3): one sentence stating what those tests must show for the criterion to be met, written from the criterion before the result is known. 3. Execution evidence (M3): the run that shows the result, the CI run once #110 merges or until then a dated local run with its commit, and the count of checks passed. 4. Defects (M3): the Defect Register IDs (#125) that affect the criterion, or None. 5. Acceptance criterion status (M3): one of Met, Partially met, Not met, Not yet verified, or Changed or removed under CR-nnn. Not yet verified is used only during M3, and no row may hold it at the Final. The title cell is updated to describe the five columns and their values. Column F keeps its pointer to the requirements registers, and column M (CR-003) keeps naming the test files and pull requests.</t>
        </is>
      </c>
      <c r="E8" s="10" t="inlineStr">
        <is>
          <t xml:space="preserve">The M3 brief (s12) requires the RTM to carry each implemented requirement through to its test cases, expected result, execution evidence and defect status. The Final brief (s9) calculates Scope Completion from a status for each M1 acceptance criterion (Met 1.0, Partially met 0.5, Not met 0.0). With these columns every one of the 42 criteria (29 FR, 13 NFR) has a status from M3 onwards, and the percentage is a calculation over one column rather than a reconstruction at the end.</t>
        </is>
      </c>
      <c r="F8" s="10" t="inlineStr">
        <is>
          <t xml:space="preserve">None. Every requirement keeps its row and its criterion.</t>
        </is>
      </c>
      <c r="G8" s="10" t="inlineStr">
        <is>
          <t xml:space="preserve">None</t>
        </is>
      </c>
      <c r="H8" s="10" t="inlineStr">
        <is>
          <t xml:space="preserve">None</t>
        </is>
      </c>
      <c r="I8" s="10" t="inlineStr">
        <is>
          <t xml:space="preserve">None</t>
        </is>
      </c>
      <c r="J8" s="10" t="inlineStr">
        <is>
          <t xml:space="preserve">Each criterion is tied to designed test cases and a run, and an unverified criterion is visible as such.</t>
        </is>
      </c>
      <c r="K8" s="10" t="inlineStr">
        <is>
          <t xml:space="preserve">None. Changed or removed criteria are counted against the changed baseline with their CR reference, as the Final brief requires.</t>
        </is>
      </c>
      <c r="L8" s="10" t="inlineStr">
        <is>
          <t xml:space="preserve">Part of #126.</t>
        </is>
      </c>
      <c r="M8" s="10" t="inlineStr">
        <is>
          <t xml:space="preserve">None</t>
        </is>
      </c>
      <c r="N8" s="10" t="inlineStr">
        <is>
          <t xml:space="preserve">None new. Gaps in verification show up during M3, while there is time to close them.</t>
        </is>
      </c>
      <c r="O8" s="10" t="inlineStr">
        <is>
          <t xml:space="preserve">ACCEPT</t>
        </is>
      </c>
      <c r="P8" s="10" t="inlineStr">
        <is>
          <t xml:space="preserve">Approved. Proposed on #126 on 7 October 2026; Tristan Roets agreed there on 12 October 2026, and Darius Mushi on 18 October 2026, on the condition that the Scope Completion Percentage is counted per acceptance criterion, since some requirements hold several criteria in one row. The columns are added and filled for the Final (#128).</t>
        </is>
      </c>
    </row>
  </sheetData>
  <autoFilter ref="A2:P8"/>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834</v>
      </c>
    </row>
    <row r="8" customFormat="false" ht="15" hidden="false" customHeight="false" outlineLevel="0" collapsed="false">
      <c r="A8" s="10" t="s">
        <v>837</v>
      </c>
      <c r="B8" s="10" t="s">
        <v>834</v>
      </c>
      <c r="C8" s="10" t="s">
        <v>831</v>
      </c>
      <c r="D8" s="10" t="s">
        <v>834</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834</v>
      </c>
    </row>
    <row r="13" customFormat="false" ht="15" hidden="false" customHeight="false" outlineLevel="0" collapsed="false">
      <c r="A13" s="9" t="s">
        <v>842</v>
      </c>
      <c r="B13" s="9" t="s">
        <v>834</v>
      </c>
      <c r="C13" s="9" t="s">
        <v>834</v>
      </c>
      <c r="D13" s="9" t="s">
        <v>831</v>
      </c>
      <c r="E13" s="9" t="s">
        <v>834</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23.8" hidden="false" customHeight="false" outlineLevel="0" collapsed="false">
      <c r="A14" s="10" t="s">
        <v>930</v>
      </c>
      <c r="B14" s="10" t="inlineStr">
        <is>
          <t xml:space="preserve">CONDITIONALLY ACCEPTED, as the team's recommendation (30 September 2026, #69). The gate decision is the assessor's, recorded in B19, and is pending.</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0" hidden="false" customHeight="false" outlineLevel="0" collapsed="false">
      <c r="A16" s="10" t="s">
        <v>1033</v>
      </c>
      <c r="B16" s="10" t="inlineStr">
        <is>
          <t xml:space="preserve">Approved, 30 September 2026, recorded on #69, not at a gate review</t>
        </is>
      </c>
    </row>
    <row r="17" customFormat="false" ht="15.0" hidden="false" customHeight="false" outlineLevel="0" collapsed="false">
      <c r="A17" s="9" t="s">
        <v>1034</v>
      </c>
      <c r="B17" s="9" t="inlineStr">
        <is>
          <t xml:space="preserve">Approved, 30 September 2026, recorded on #69, not at a gate review</t>
        </is>
      </c>
    </row>
    <row r="18" customFormat="false" ht="15.0" hidden="false" customHeight="false" outlineLevel="0" collapsed="false">
      <c r="A18" s="10" t="s">
        <v>1035</v>
      </c>
      <c r="B18" s="10" t="inlineStr">
        <is>
          <t xml:space="preserve">Approved, 30 September 2026, recorded on #69, not at a gate review</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