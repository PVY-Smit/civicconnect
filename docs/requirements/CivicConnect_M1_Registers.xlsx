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Register'!$A$2:$H$29</definedName>
    <definedName function="false" hidden="true" localSheetId="16" name="_xlnm._FilterDatabase" vbProcedure="false">'Baseline Sign-off'!$A$2:$B$19</definedName>
    <definedName function="false" hidden="true" localSheetId="11" name="_xlnm._FilterDatabase" vbProcedure="false">'Change Requests'!$A$2:$P$6</definedName>
    <definedName function="false" hidden="true" localSheetId="5" name="_xlnm._FilterDatabase" vbProcedure="false">Constraints!$A$2:$D$10</definedName>
    <definedName function="false" hidden="true" localSheetId="9" name="_xlnm._FilterDatabase" vbProcedure="false">'Decision Log'!$A$2:$L$18</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Register'!$A$2:$L$32</definedName>
    <definedName function="false" hidden="true" localSheetId="6" name="_xlnm._FilterDatabase" vbProcedure="false">RTM!$A$2:$O$44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<sst xmlns="http://schemas.openxmlformats.org/spreadsheetml/2006/main" count="1761" uniqueCount="1036">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</sst>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18</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16</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A cell with no evidence yet holds a controlled status: Planned (M3), Not yet designed, Not yet decided, Not yet implemented or Not applicable. FR-016 is traced end to end.</t>
        </is>
      </c>
      <c r="B1" s="7"/>
      <c r="C1" s="7"/>
      <c r="D1" s="7"/>
      <c r="E1" s="7"/>
      <c r="F1" s="7"/>
      <c r="G1" s="7"/>
      <c r="H1" s="7"/>
      <c r="I1" s="7"/>
      <c r="J1" s="7"/>
      <c r="K1" s="7"/>
      <c r="L1" s="7"/>
      <c r="M1" s="7"/>
      <c r="N1" s="7"/>
      <c r="O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Not yet implemented</t>
        </is>
      </c>
      <c r="M3" s="9" t="inlineStr">
        <is>
          <t xml:space="preserve">Planned (M3)</t>
        </is>
      </c>
      <c r="N3" s="9" t="inlineStr">
        <is>
          <t xml:space="preserve">RSK-05, RSK-01, ADR-002</t>
        </is>
      </c>
      <c r="O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merged)</t>
        </is>
      </c>
      <c r="M4" s="10" t="inlineStr">
        <is>
          <t xml:space="preserve">tests/authorisation-policy.test.js (#94): every Access Matrix cell. Endpoint negative tests planned (M3)</t>
        </is>
      </c>
      <c r="N4" s="10" t="inlineStr">
        <is>
          <t xml:space="preserve">RSK-05, FEC-01, ADR-006, CR-002 (#92)</t>
        </is>
      </c>
      <c r="O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Not yet implemented</t>
        </is>
      </c>
      <c r="M5" s="9" t="inlineStr">
        <is>
          <t xml:space="preserve">Planned (M3)</t>
        </is>
      </c>
      <c r="N5" s="9" t="inlineStr">
        <is>
          <t xml:space="preserve">ADR-007</t>
        </is>
      </c>
      <c r="O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Not yet implemented</t>
        </is>
      </c>
      <c r="M6" s="10" t="inlineStr">
        <is>
          <t xml:space="preserve">Planned (M3)</t>
        </is>
      </c>
      <c r="N6" s="10" t="inlineStr">
        <is>
          <t xml:space="preserve">RSK-05</t>
        </is>
      </c>
      <c r="O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Not yet implemented</t>
        </is>
      </c>
      <c r="M7" s="9" t="inlineStr">
        <is>
          <t xml:space="preserve">Planned (M3)</t>
        </is>
      </c>
      <c r="N7" s="9" t="inlineStr">
        <is>
          <t xml:space="preserve">ADR-007</t>
        </is>
      </c>
      <c r="O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Not yet implemented</t>
        </is>
      </c>
      <c r="M8" s="10" t="inlineStr">
        <is>
          <t xml:space="preserve">Planned (M3)</t>
        </is>
      </c>
      <c r="N8" s="10" t="inlineStr">
        <is>
          <t xml:space="preserve">FEC-02, ADR-007</t>
        </is>
      </c>
      <c r="O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Not yet implemented</t>
        </is>
      </c>
      <c r="M9" s="9" t="inlineStr">
        <is>
          <t xml:space="preserve">Planned (M3)</t>
        </is>
      </c>
      <c r="N9" s="9" t="inlineStr">
        <is>
          <t xml:space="preserve">ADR-007</t>
        </is>
      </c>
      <c r="O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Not yet implemented</t>
        </is>
      </c>
      <c r="M10" s="10" t="inlineStr">
        <is>
          <t xml:space="preserve">Planned (M3)</t>
        </is>
      </c>
      <c r="N10" s="10" t="inlineStr">
        <is>
          <t xml:space="preserve">DEC-004, ADR-007</t>
        </is>
      </c>
      <c r="O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Not yet implemented</t>
        </is>
      </c>
      <c r="M11" s="9" t="inlineStr">
        <is>
          <t xml:space="preserve">Planned (M3)</t>
        </is>
      </c>
      <c r="N11" s="9" t="inlineStr">
        <is>
          <t xml:space="preserve">ADR-007</t>
        </is>
      </c>
      <c r="O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Scope in src/modules/authorisation-policy/policy.js (#94, merged). List not yet implemented</t>
        </is>
      </c>
      <c r="M12" s="10" t="inlineStr">
        <is>
          <t xml:space="preserve">Scope tested in tests/authorisation-policy.test.js (#94). List planned (M3)</t>
        </is>
      </c>
      <c r="N12" s="10" t="inlineStr">
        <is>
          <t xml:space="preserve">ADR-006</t>
        </is>
      </c>
      <c r="O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Scope in src/modules/authorisation-policy/policy.js (#94, merged). Detail view not yet implemented</t>
        </is>
      </c>
      <c r="M13" s="9" t="inlineStr">
        <is>
          <t xml:space="preserve">tests/authorisation-policy.test.js (#94). The payload negative test is planned (M3)</t>
        </is>
      </c>
      <c r="N13" s="9" t="inlineStr">
        <is>
          <t xml:space="preserve">RSK-05, FEC-01, DEC-003, ADR-006</t>
        </is>
      </c>
      <c r="O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src/modules/authorisation-policy/policy.js (#94, merged)</t>
        </is>
      </c>
      <c r="M14" s="10" t="inlineStr">
        <is>
          <t xml:space="preserve">tests/authorisation-policy.test.js (#94): the query condition and the single-request check select the same requests. Endpoint negative test planned (M3)</t>
        </is>
      </c>
      <c r="N14" s="10" t="inlineStr">
        <is>
          <t xml:space="preserve">RSK-05, FEC-01, ADR-006</t>
        </is>
      </c>
      <c r="O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src/modules/authorisation-policy/policy.js (#94, merged)</t>
        </is>
      </c>
      <c r="M15" s="9" t="inlineStr">
        <is>
          <t xml:space="preserve">tests/authorisation-policy.test.js (#94). Queue planned (M3)</t>
        </is>
      </c>
      <c r="N15" s="9" t="inlineStr">
        <is>
          <t xml:space="preserve">FEC-01, ADR-006</t>
        </is>
      </c>
      <c r="O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Not yet implemented</t>
        </is>
      </c>
      <c r="M16" s="10" t="inlineStr">
        <is>
          <t xml:space="preserve">Planned (M3)</t>
        </is>
      </c>
      <c r="N16" s="10" t="inlineStr">
        <is>
          <t xml:space="preserve">FEC-06, ADR-007</t>
        </is>
      </c>
      <c r="O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src/modules/workflow-status/transition-table.js and transitions.js (#93, merged); src/modules/authorisation-policy/policy.js (#94, merged)</t>
        </is>
      </c>
      <c r="M17" s="9" t="inlineStr">
        <is>
          <t xml:space="preserve">tests/workflow-status.test.js (#93) and tests/authorisation-policy.test.js (#94). Endpoint tests planned (M3)</t>
        </is>
      </c>
      <c r="N17" s="9" t="inlineStr">
        <is>
          <t xml:space="preserve">ADR-005, ADR-006, CR-002 (#92)</t>
        </is>
      </c>
      <c r="O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src/modules/workflow-status/transition-table.js and transitions.js (#93, merged 29 September 2026)</t>
        </is>
      </c>
      <c r="M18" s="10" t="inlineStr">
        <is>
          <t xml:space="preserve">tests/workflow-status.test.js: all 196 combinations of status pair and role against a fixture exported from the Status Model register; three deliberate faults each failed the suite (#93). Refusal at the endpoint planned (M3)</t>
        </is>
      </c>
      <c r="N18" s="10" t="inlineStr">
        <is>
          <t xml:space="preserve">RSK-09, FEC-02, ADR-001, ADR-005, ADR-006, CR-002 (#92)</t>
        </is>
      </c>
      <c r="O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Scope in src/modules/authorisation-policy/policy.js (#94, merged). Recording not yet implemented</t>
        </is>
      </c>
      <c r="M19" s="9" t="inlineStr">
        <is>
          <t xml:space="preserve">Scope tested in tests/authorisation-policy.test.js (#94). Recording planned (M3)</t>
        </is>
      </c>
      <c r="N19" s="9" t="inlineStr">
        <is>
          <t xml:space="preserve">RSK-05, DEC-003, ADR-006</t>
        </is>
      </c>
      <c r="O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src/modules/workflow-status/transition-table.js and transitions.js (#93, merged)</t>
        </is>
      </c>
      <c r="M20" s="10" t="inlineStr">
        <is>
          <t xml:space="preserve">tests/workflow-status.test.js (#93)</t>
        </is>
      </c>
      <c r="N20" s="10" t="inlineStr">
        <is>
          <t xml:space="preserve">ADR-005</t>
        </is>
      </c>
      <c r="O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src/modules/workflow-status/transition-table.js and transitions.js (#93, merged)</t>
        </is>
      </c>
      <c r="M21" s="9" t="inlineStr">
        <is>
          <t xml:space="preserve">tests/workflow-status.test.js (#93)</t>
        </is>
      </c>
      <c r="N21" s="9" t="inlineStr">
        <is>
          <t xml:space="preserve">ADR-005</t>
        </is>
      </c>
      <c r="O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src/modules/workflow-status/transition-table.js and transitions.js (#93, merged)</t>
        </is>
      </c>
      <c r="M22" s="10" t="inlineStr">
        <is>
          <t xml:space="preserve">tests/workflow-status.test.js (#93)</t>
        </is>
      </c>
      <c r="N22" s="10" t="inlineStr">
        <is>
          <t xml:space="preserve">ADR-005, ADR-006, CR-002 (#92)</t>
        </is>
      </c>
      <c r="O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src/modules/authorisation-policy/policy.js (#94, merged). Priority change not yet implemented</t>
        </is>
      </c>
      <c r="M23" s="9" t="inlineStr">
        <is>
          <t xml:space="preserve">tests/authorisation-policy.test.js (#94). Priority change planned (M3)</t>
        </is>
      </c>
      <c r="N23" s="9" t="inlineStr">
        <is>
          <t xml:space="preserve">DEC-002, ADR-006, CR-002 (#92)</t>
        </is>
      </c>
      <c r="O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Not yet implemented</t>
        </is>
      </c>
      <c r="M24" s="10" t="inlineStr">
        <is>
          <t xml:space="preserve">Planned (M3)</t>
        </is>
      </c>
      <c r="N24" s="10" t="inlineStr">
        <is>
          <t xml:space="preserve">RSK-09, FEC-02, FEC-06, ADR-001</t>
        </is>
      </c>
      <c r="O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Not yet implemented</t>
        </is>
      </c>
      <c r="M25" s="9" t="inlineStr">
        <is>
          <t xml:space="preserve">Planned (M3)</t>
        </is>
      </c>
      <c r="N25" s="9" t="inlineStr">
        <is>
          <t xml:space="preserve">FEC-06, ADR-001</t>
        </is>
      </c>
      <c r="O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Not yet implemented</t>
        </is>
      </c>
      <c r="M26" s="10" t="inlineStr">
        <is>
          <t xml:space="preserve">Planned (M3)</t>
        </is>
      </c>
      <c r="N26" s="10" t="inlineStr">
        <is>
          <t xml:space="preserve">FEC-02, ADR-001</t>
        </is>
      </c>
      <c r="O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Not yet implemented</t>
        </is>
      </c>
      <c r="M27" s="9" t="inlineStr">
        <is>
          <t xml:space="preserve">Planned (M3)</t>
        </is>
      </c>
      <c r="N27" s="9" t="inlineStr">
        <is>
          <t xml:space="preserve">ADR-001, ADR-007</t>
        </is>
      </c>
      <c r="O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src/modules/authorisation-policy/policy.js (#94, merged)</t>
        </is>
      </c>
      <c r="M28" s="10" t="inlineStr">
        <is>
          <t xml:space="preserve">tests/authorisation-policy.test.js (#94): the Access Matrix row denies every role. Endpoint test planned (M3)</t>
        </is>
      </c>
      <c r="N28" s="10" t="inlineStr">
        <is>
          <t xml:space="preserve">ADR-006</t>
        </is>
      </c>
      <c r="O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Not yet implemented</t>
        </is>
      </c>
      <c r="M29" s="9" t="inlineStr">
        <is>
          <t xml:space="preserve">Planned (M3)</t>
        </is>
      </c>
      <c r="N29" s="9" t="inlineStr">
        <is>
          <t xml:space="preserve">ADR-007</t>
        </is>
      </c>
      <c r="O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Not yet implemented</t>
        </is>
      </c>
      <c r="M30" s="10" t="inlineStr">
        <is>
          <t xml:space="preserve">Planned (M3)</t>
        </is>
      </c>
      <c r="N30" s="10" t="inlineStr">
        <is>
          <t xml:space="preserve">ADR-007</t>
        </is>
      </c>
      <c r="O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Not yet implemented</t>
        </is>
      </c>
      <c r="M31" s="9" t="inlineStr">
        <is>
          <t xml:space="preserve">Planned (M3)</t>
        </is>
      </c>
      <c r="N31" s="9" t="inlineStr">
        <is>
          <t xml:space="preserve">DEC-005, SC-D-01, FEC-03, ADR-008</t>
        </is>
      </c>
      <c r="O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Not yet implemented</t>
        </is>
      </c>
      <c r="M32" s="10" t="inlineStr">
        <is>
          <t xml:space="preserve">Planned (M3): 20 timed retrievals against a seeded 5 000-request dataset</t>
        </is>
      </c>
      <c r="N32" s="10" t="inlineStr">
        <is>
          <t xml:space="preserve">FEC-04, FEC-06, ADR-001, ADR-006</t>
        </is>
      </c>
      <c r="O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Not yet implemented</t>
        </is>
      </c>
      <c r="M33" s="9" t="inlineStr">
        <is>
          <t xml:space="preserve">Planned (M3)</t>
        </is>
      </c>
      <c r="N33" s="9" t="inlineStr">
        <is>
          <t xml:space="preserve">ADR-007</t>
        </is>
      </c>
      <c r="O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endpoint in src/app.js (#90, open)</t>
        </is>
      </c>
      <c r="M34" s="10" t="inlineStr">
        <is>
          <t xml:space="preserve">tests/health.test.js (#90, open). Availability measurement planned (M3)</t>
        </is>
      </c>
      <c r="N34" s="10" t="inlineStr">
        <is>
          <t xml:space="preserve">RSK-02, FEC-05, DEC-010</t>
        </is>
      </c>
      <c r="O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Not yet implemented</t>
        </is>
      </c>
      <c r="M35" s="9" t="inlineStr">
        <is>
          <t xml:space="preserve">Planned (M3)</t>
        </is>
      </c>
      <c r="N35" s="9" t="inlineStr">
        <is>
          <t xml:space="preserve">RSK-05, ADR-002</t>
        </is>
      </c>
      <c r="O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src/modules/authorisation-policy/policy.js (#94, merged)</t>
        </is>
      </c>
      <c r="M36" s="10" t="inlineStr">
        <is>
          <t xml:space="preserve">tests/authorisation-policy.test.js (#94): all sixty Access Matrix cells; four deliberate faults each failed the suite. Endpoint negative tests planned (M3)</t>
        </is>
      </c>
      <c r="N36" s="10" t="inlineStr">
        <is>
          <t xml:space="preserve">RSK-05, FEC-01, ADR-006, CR-002 (#92)</t>
        </is>
      </c>
      <c r="O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Not yet implemented</t>
        </is>
      </c>
      <c r="M37" s="9" t="inlineStr">
        <is>
          <t xml:space="preserve">Planned (M3)</t>
        </is>
      </c>
      <c r="N37" s="9" t="inlineStr">
        <is>
          <t xml:space="preserve">DEC-010</t>
        </is>
      </c>
      <c r="O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workflow (#87), merged on 30 September 2026</t>
        </is>
      </c>
      <c r="M38" s="10" t="inlineStr">
        <is>
          <t xml:space="preserve">The secret scan runs on every pull request and push to main. It passed on #87 on 29 September 2026 and on main on 30 September 2026</t>
        </is>
      </c>
      <c r="N38" s="10" t="inlineStr">
        <is>
          <t xml:space="preserve">RSK-11</t>
        </is>
      </c>
      <c r="O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Access scope in src/modules/authorisation-policy/policy.js (#94, merged)</t>
        </is>
      </c>
      <c r="M39" s="9" t="inlineStr">
        <is>
          <t xml:space="preserve">Planned (M3)</t>
        </is>
      </c>
      <c r="N39" s="9" t="inlineStr">
        <is>
          <t xml:space="preserve">RSK-05, RSK-10, FEC-04, ADR-006</t>
        </is>
      </c>
      <c r="O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Not yet implemented</t>
        </is>
      </c>
      <c r="M40" s="10" t="inlineStr">
        <is>
          <t xml:space="preserve">Planned (M3)</t>
        </is>
      </c>
      <c r="N40" s="10" t="inlineStr">
        <is>
          <t xml:space="preserve">-</t>
        </is>
      </c>
      <c r="O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Not yet implemented</t>
        </is>
      </c>
      <c r="M41" s="9" t="inlineStr">
        <is>
          <t xml:space="preserve">Planned (M3)</t>
        </is>
      </c>
      <c r="N41" s="9" t="inlineStr">
        <is>
          <t xml:space="preserve">-</t>
        </is>
      </c>
      <c r="O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Not yet implemented</t>
        </is>
      </c>
      <c r="M42" s="10" t="inlineStr">
        <is>
          <t xml:space="preserve">Planned (M3): an audit entry per change type, and a reconciliation query</t>
        </is>
      </c>
      <c r="N42" s="10" t="inlineStr">
        <is>
          <t xml:space="preserve">RSK-09, ADR-001, ADR-005</t>
        </is>
      </c>
      <c r="O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tests/ (#93, #94, merged)</t>
        </is>
      </c>
      <c r="M43" s="9" t="inlineStr">
        <is>
          <t xml:space="preserve">22 tests pass locally. No CI check has run yet (#67)</t>
        </is>
      </c>
      <c r="N43" s="9" t="inlineStr">
        <is>
          <t xml:space="preserve">RSK-03, ADR-002</t>
        </is>
      </c>
      <c r="O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Not yet implemented</t>
        </is>
      </c>
      <c r="M44" s="10" t="inlineStr">
        <is>
          <t xml:space="preserve">Planned: a recorded cost review before release</t>
        </is>
      </c>
      <c r="N44" s="10" t="inlineStr">
        <is>
          <t xml:space="preserve">RSK-02, FEC-05, DEC-010</t>
        </is>
      </c>
      <c r="O44" s="10" t="s">
        <v>182</v>
      </c>
    </row>
  </sheetData>
  <autoFilter ref="A2:O44"/>
  <mergeCells count="1">
    <mergeCell ref="A1:O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690.2"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On the #90 branch, which has not merged, the bootstrap overrides deepmerge-ts to 8.0.2 and mysql2 to 3.24.4, and npm audit reports 0 vulnerabilities at 9529e80. The overrides are removed when a Prisma 7 release fixes issue #30295. npm audit --audit-level=high runs on every pull request once the CI workflow (#110) merges, so a new advisory fails the build.
M1 baseline: Make dependency-ecosystem maturity a criterion in DEC-008. Adopt lockfiles and automated dependency and vulnerability checking from the first construction Pull Request. Require any new dependency to be justified in the Pull Request that introduces it.</t>
        </is>
      </c>
      <c r="I14" s="10" t="inlineStr">
        <is>
          <t xml:space="preserve">M2 (6 October 2026): Keep the overrides while Prisma 7 pins the affected versions, and remove them when a Prisma 7 release fixes #30295. If an override breaks Prisma, return to the last working set, record the advisory as an accepted residual risk with the owner's reasons, and raise a change to the stack under ADR-002. If a new advisory has no override, replace the component.
M1 baseline: Remove or replace the affected component, assess exposure, and record the residual risk rather than claiming the system is clean.</t>
        </is>
      </c>
      <c r="J14" s="10" t="s">
        <v>1009</v>
      </c>
      <c r="K14" s="10" t="inlineStr">
        <is>
          <t xml:space="preserve">Materialised - active. Found 28 September 2026: Prisma 7.10.0 pins deepmerge-ts 7.1.5 and mysql2 3.15.3, which carry high-severity advisories no 7.x release has fixed (Prisma issue #30295). On the #90 branch, which has not merged, the bootstrap overrides them to deepmerge-ts 8.0.2 and mysql2 3.24.4, and npm audit reports 0 vulnerabilities (9529e80; again at fbd12e9 on 9 October 2026). The audit gate arrives once the CI workflow (#110) merges. The status becomes Materialised - mitigated when both have merged. Probability re-scored from 2 to 3 under #68 and confirmed by the owner, Darius Mushi, on #106, 8 October 2026.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row r="32" customFormat="false" ht="35.05" hidden="false" customHeight="false" outlineLevel="0" collapsed="false">
      <c r="A32" s="10" t="inlineStr">
        <is>
          <t xml:space="preserve">RSK-30</t>
        </is>
      </c>
      <c r="B32" s="10" t="inlineStr">
        <is>
          <t xml:space="preserve">The BC Desktop campus environment differs from the Node 24 and PostgreSQL 16 environment the stack was verified on, so the application does not install or run on campus machines.</t>
        </is>
      </c>
      <c r="C32" s="10" t="inlineStr">
        <is>
          <t xml:space="preserve">CR-004 replaced the campus run with a check repeated by a second member and in CI, because no verified campus run exists (#64). CON-07: the campus cannot guarantee the stack is available.</t>
        </is>
      </c>
      <c r="D32" s="10" t="n">
        <v>3</v>
      </c>
      <c r="E32" s="10" t="n">
        <v>3</v>
      </c>
      <c r="F32" s="13" t="n">
        <f aca="false">D32*E32</f>
        <v>9</v>
      </c>
      <c r="G32" s="13" t="str">
        <f aca="false">IF(F32&gt;=20,"Critical",IF(F32&gt;=12,"High",IF(F32&gt;=6,"Medium","Low")))</f>
        <v>Medium</v>
      </c>
      <c r="H32" s="10" t="inlineStr">
        <is>
          <t xml:space="preserve">The engines field requires Node 24 or later; npm ci installs from the committed lockfile; CI runs on Node 24 against PostgreSQL 16 on every pull request (#110). Run the campus check when lab access allows and record the Node version on #64.</t>
        </is>
      </c>
      <c r="I32" s="10" t="inlineStr">
        <is>
          <t xml:space="preserve">Demonstrate from a team member's machine on the simulated staging environment (#122), and record the campus difference as a limitation in the release summary.</t>
        </is>
      </c>
      <c r="J32" s="10" t="inlineStr">
        <is>
          <t xml:space="preserve">Darius Mushi</t>
        </is>
      </c>
      <c r="K32" s="10" t="inlineStr">
        <is>
          <t xml:space="preserve">Open</t>
        </is>
      </c>
      <c r="L32" s="10" t="inlineStr">
        <is>
          <t xml:space="preserve">ADR-002, CR-004, DEC-016, CON-07, RSK-01, RSK-02, #64, #90, #107</t>
        </is>
      </c>
    </row>
  </sheetData>
  <autoFilter ref="A2:L32"/>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row r="18" customFormat="false" ht="70.1" hidden="false" customHeight="false" outlineLevel="0" collapsed="false">
      <c r="A18" s="10" t="inlineStr">
        <is>
          <t xml:space="preserve">DEC-016</t>
        </is>
      </c>
      <c r="B18" s="10" t="inlineStr">
        <is>
          <t xml:space="preserve">Bootstrap merge conditions, amending DEC-008</t>
        </is>
      </c>
      <c r="C18" s="10" t="inlineStr">
        <is>
          <t xml:space="preserve">Decided (M3, CR-004, #107)</t>
        </is>
      </c>
      <c r="D18" s="10" t="inlineStr">
        <is>
          <t xml:space="preserve">ADR-002 (DEC-008) let the bootstrap (#90) merge only after gate 3 closed on a BC Desktop machine and the RSK-01 proof of concept passed. By 5 October 2026 neither was shown: the verification logs on #64 disagree, and the proof of concept persisted to a temporary table. Every M3 implementation issue depends on the bootstrap.</t>
        </is>
      </c>
      <c r="E18" s="10" t="inlineStr">
        <is>
          <t xml:space="preserve">CON-07 platform availability; CON-02 schedule, with M3 due 14 October 2026; RSK-01; NFR-004.</t>
        </is>
      </c>
      <c r="F18" s="10" t="inlineStr">
        <is>
          <t xml:space="preserve">(a) Keep both conditions and wait for a verified campus run. (b) Replace the campus run with a check a second member repeats and CI then runs on every pull request, keep the campus check as a risk, and restate the proof of concept against the data model. (c) Remove the conditions.</t>
        </is>
      </c>
      <c r="G18" s="10" t="inlineStr">
        <is>
          <t xml:space="preserve">(b), recorded as CR-004 and as a dated amendment to ADR-002.</t>
        </is>
      </c>
      <c r="H18" s="10" t="inlineStr">
        <is>
          <t xml:space="preserve">A check another member can repeat, and that CI then repeats on every pull request, is stronger evidence than a single run nobody else can see. (a) holds all of M3 on lab access the team does not control. (c) drops the evidence ADR-002 asked for.</t>
        </is>
      </c>
      <c r="I18" s="10" t="inlineStr">
        <is>
          <t xml:space="preserve">No verified run on the campus image before construction starts, so the campus environment can still differ.</t>
        </is>
      </c>
      <c r="J18" s="10" t="inlineStr">
        <is>
          <t xml:space="preserve">RSK-30: the campus environment differs from the verified Node 24 and PostgreSQL 16 environment.</t>
        </is>
      </c>
      <c r="K18" s="10" t="inlineStr">
        <is>
          <t xml:space="preserve">The #64 verification logs (30 September 2026); the reviews on #90; CR-004 and the ADR-002 amendment (#107).</t>
        </is>
      </c>
      <c r="L18" s="10" t="inlineStr">
        <is>
          <t xml:space="preserve">#90 merges under #108 once the second member's run is posted. The CI workflow (#110) repeats the check on every pull request. The campus check is run when lab access allows and recorded on #64.</t>
        </is>
      </c>
    </row>
  </sheetData>
  <autoFilter ref="A2:L18"/>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[To be completed by Jean Smit after review of this pull request.]</t>
        </is>
      </c>
    </row>
  </sheetData>
  <autoFilter ref="A2:H29"/>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at 3b2def7,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Approved by all three members on #69, 30 September 2026.</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to the requirements for all four cells. The correction of the Access Matrix sheet, PED s8.3 and the test fixture is M3 work under #92.</t>
        </is>
      </c>
      <c r="P4" s="10" t="inlineStr">
        <is>
          <t xml:space="preserve">Approved and implemented. Approved by all three members on #69, 30 September 2026: fix the matrix for all four cells. Implemented under #92 (6 October 2026): the Access Matrix sheet now refuses the four cells, the test fixture is re-exported from it, and the policy's list of conflicts is empty. PED s8.3 is corrected in PED v3.0 (#127); until then its reading note records the correction.</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Approved by all three members on #69, 30 September 2026.</t>
        </is>
      </c>
    </row>
    <row r="6" customFormat="false" ht="202.3" hidden="false" customHeight="false" outlineLevel="0" collapsed="false">
      <c r="A6" s="10" t="inlineStr">
        <is>
          <t xml:space="preserve">CR-004</t>
        </is>
      </c>
      <c r="B6" s="10" t="inlineStr">
        <is>
          <t xml:space="preserve">Jean Smit</t>
        </is>
      </c>
      <c r="C6" s="10" t="inlineStr">
        <is>
          <t xml:space="preserve">5 October 2026</t>
        </is>
      </c>
      <c r="D6" s="10" t="inlineStr">
        <is>
          <t xml:space="preserve">Amend the two conditions ADR-002 sets before the bootstrap (#90) merges (#107). Condition 1, gate 3 on a BC Desktop machine, becomes a reproducible check: a member other than the author runs npm ci, prisma generate, prisma migrate deploy and npm test on Node 24 against PostgreSQL 16 and posts the output on #90, and the CI workflow repeats it on every pull request once #110 merges. The campus check becomes RSK-30. Condition 2 is restated: the RSK-01 proof of concept persists a User from the ADR-007 model through Prisma and verifies an argon2 sign-in.</t>
        </is>
      </c>
      <c r="E6" s="10" t="inlineStr">
        <is>
          <t xml:space="preserve">Neither condition could be shown as met. The two verification logs on #64 disagree: the log with a screenshot ran on a member's own machine on Node 25.9.0 with mock data, and the log that reports a campus run has no screenshot or command output. The proof of concept in #90 persists to a table the test creates and drops, outside the data model. M3 is due 14 October 2026 and every M3 implementation issue depends on the bootstrap.</t>
        </is>
      </c>
      <c r="F6" s="10" t="inlineStr">
        <is>
          <t xml:space="preserve">None. NFR-004 and the substance of the RSK-01 proof of concept are unchanged.</t>
        </is>
      </c>
      <c r="G6" s="10" t="inlineStr">
        <is>
          <t xml:space="preserve">ADR-002: the merge conditions under Decision, recorded as a dated amendment. The original conditions stay in the record.</t>
        </is>
      </c>
      <c r="H6" s="10" t="inlineStr">
        <is>
          <t xml:space="preserve">Data: the proof of concept uses the User entity from ADR-007 instead of a temporary table.</t>
        </is>
      </c>
      <c r="I6" s="10" t="inlineStr">
        <is>
          <t xml:space="preserve">None. The argon2 check is kept.</t>
        </is>
      </c>
      <c r="J6" s="10" t="inlineStr">
        <is>
          <t xml:space="preserve">The environment check becomes repeatable: a second member's run on #90, then the CI workflow (#110) on every pull request, on Node 24 against PostgreSQL 16.</t>
        </is>
      </c>
      <c r="K6" s="10" t="inlineStr">
        <is>
          <t xml:space="preserve">None</t>
        </is>
      </c>
      <c r="L6" s="10" t="inlineStr">
        <is>
          <t xml:space="preserve">Unblocks #108, which merges #90 by 7 October 2026, and through it every M3 implementation issue.</t>
        </is>
      </c>
      <c r="M6" s="10" t="inlineStr">
        <is>
          <t xml:space="preserve">None</t>
        </is>
      </c>
      <c r="N6" s="10" t="inlineStr">
        <is>
          <t xml:space="preserve">Adds RSK-30 for the unverified campus environment. RSK-01 and RSK-02 are unchanged.</t>
        </is>
      </c>
      <c r="O6" s="10" t="inlineStr">
        <is>
          <t xml:space="preserve">ACCEPT</t>
        </is>
      </c>
      <c r="P6" s="10" t="inlineStr">
        <is>
          <t xml:space="preserve">Approved when the pull request for #107 merges with the approvals of the other two members.</t>
        </is>
      </c>
    </row>
  </sheetData>
  <autoFilter ref="A2:P6"/>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834</v>
      </c>
    </row>
    <row r="8" customFormat="false" ht="15" hidden="false" customHeight="false" outlineLevel="0" collapsed="false">
      <c r="A8" s="10" t="s">
        <v>837</v>
      </c>
      <c r="B8" s="10" t="s">
        <v>834</v>
      </c>
      <c r="C8" s="10" t="s">
        <v>831</v>
      </c>
      <c r="D8" s="10" t="s">
        <v>834</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834</v>
      </c>
    </row>
    <row r="13" customFormat="false" ht="15" hidden="false" customHeight="false" outlineLevel="0" collapsed="false">
      <c r="A13" s="9" t="s">
        <v>842</v>
      </c>
      <c r="B13" s="9" t="s">
        <v>834</v>
      </c>
      <c r="C13" s="9" t="s">
        <v>834</v>
      </c>
      <c r="D13" s="9" t="s">
        <v>831</v>
      </c>
      <c r="E13" s="9" t="s">
        <v>834</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inlineStr">
        <is>
          <t xml:space="preserve">30 September 2026, after the M1 submission. Answers recorded on #69</t>
        </is>
      </c>
    </row>
    <row r="8" customFormat="false" ht="15" hidden="false" customHeight="false" outlineLevel="0" collapsed="false">
      <c r="A8" s="10" t="s">
        <v>923</v>
      </c>
      <c r="B8" s="10" t="inlineStr">
        <is>
          <t xml:space="preserve">YES</t>
        </is>
      </c>
    </row>
    <row r="9" customFormat="false" ht="15" hidden="false" customHeight="false" outlineLevel="0" collapsed="false">
      <c r="A9" s="9" t="s">
        <v>925</v>
      </c>
      <c r="B9" s="9" t="inlineStr">
        <is>
          <t xml:space="preserve">YES</t>
        </is>
      </c>
    </row>
    <row r="10" customFormat="false" ht="15" hidden="false" customHeight="false" outlineLevel="0" collapsed="false">
      <c r="A10" s="10" t="s">
        <v>926</v>
      </c>
      <c r="B10" s="10" t="inlineStr">
        <is>
          <t xml:space="preserve">YES</t>
        </is>
      </c>
    </row>
    <row r="11" customFormat="false" ht="15" hidden="false" customHeight="false" outlineLevel="0" collapsed="false">
      <c r="A11" s="9" t="s">
        <v>927</v>
      </c>
      <c r="B11" s="9" t="inlineStr">
        <is>
          <t xml:space="preserve">YES, noting #37 and #47</t>
        </is>
      </c>
    </row>
    <row r="12" customFormat="false" ht="15" hidden="false" customHeight="false" outlineLevel="0" collapsed="false">
      <c r="A12" s="10" t="s">
        <v>928</v>
      </c>
      <c r="B12" s="10" t="inlineStr">
        <is>
          <t xml:space="preserve">YES</t>
        </is>
      </c>
    </row>
    <row r="13" customFormat="false" ht="15" hidden="false" customHeight="false" outlineLevel="0" collapsed="false">
      <c r="A13" s="9" t="s">
        <v>929</v>
      </c>
      <c r="B13" s="9" t="inlineStr">
        <is>
          <t xml:space="preserve">YES</t>
        </is>
      </c>
    </row>
    <row r="14" customFormat="false" ht="23.8" hidden="false" customHeight="false" outlineLevel="0" collapsed="false">
      <c r="A14" s="10" t="s">
        <v>930</v>
      </c>
      <c r="B14" s="10" t="inlineStr">
        <is>
          <t xml:space="preserve">CONDITIONALLY ACCEPTED, as the team's recommendation (30 September 2026, #69). The gate decision is the assessor's, recorded in B19, and is pending.</t>
        </is>
      </c>
    </row>
    <row r="15" customFormat="false" ht="15" hidden="false" customHeight="false" outlineLevel="0" collapsed="false">
      <c r="A15" s="9" t="s">
        <v>932</v>
      </c>
      <c r="B15" s="12" t="inlineStr">
        <is>
          <t xml:space="preserve">#27 the Figure 2 label defect; #36 figure sources not held in the repository; #37 branch naming breached on five branches; #47 checks required before any existed; #48 PED s12.4 narrower than Master Brief s14. Each is carried in PED s26.2.</t>
        </is>
      </c>
    </row>
    <row r="16" customFormat="false" ht="15.0" hidden="false" customHeight="false" outlineLevel="0" collapsed="false">
      <c r="A16" s="10" t="s">
        <v>1033</v>
      </c>
      <c r="B16" s="10" t="inlineStr">
        <is>
          <t xml:space="preserve">Approved, 30 September 2026, recorded on #69, not at a gate review</t>
        </is>
      </c>
    </row>
    <row r="17" customFormat="false" ht="15.0" hidden="false" customHeight="false" outlineLevel="0" collapsed="false">
      <c r="A17" s="9" t="s">
        <v>1034</v>
      </c>
      <c r="B17" s="9" t="inlineStr">
        <is>
          <t xml:space="preserve">Approved, 30 September 2026, recorded on #69, not at a gate review</t>
        </is>
      </c>
    </row>
    <row r="18" customFormat="false" ht="15.0" hidden="false" customHeight="false" outlineLevel="0" collapsed="false">
      <c r="A18" s="10" t="s">
        <v>1035</v>
      </c>
      <c r="B18" s="10" t="inlineStr">
        <is>
          <t xml:space="preserve">Approved, 30 September 2026, recorded on #69, not at a gate review</t>
        </is>
      </c>
    </row>
    <row r="19" customFormat="false" ht="15" hidden="false" customHeight="false" outlineLevel="0" collapsed="false">
      <c r="A19" s="9" t="s">
        <v>938</v>
      </c>
      <c r="B19" s="12" t="inlineStr">
        <is>
          <t xml:space="preserve">For the assessor to complete</t>
        </is>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