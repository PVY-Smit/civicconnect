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Register'!$A$2:$H$26</definedName>
    <definedName function="false" hidden="true" localSheetId="16" name="_xlnm._FilterDatabase" vbProcedure="false">'Baseline Sign-off'!$A$2:$B$19</definedName>
    <definedName function="false" hidden="true" localSheetId="11" name="_xlnm._FilterDatabase" vbProcedure="false">'Change Requests'!$A$2:$P$5</definedName>
    <definedName function="false" hidden="true" localSheetId="5" name="_xlnm._FilterDatabase" vbProcedure="false">Constraints!$A$2:$D$10</definedName>
    <definedName function="false" hidden="true" localSheetId="9" name="_xlnm._FilterDatabase" vbProcedure="false">'Decision Log'!$A$2:$L$17</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Register'!$A$2:$L$25</definedName>
    <definedName function="false" hidden="true" localSheetId="6" name="_xlnm._FilterDatabase" vbProcedure="false">RTM!$A$2:$O$44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<sst xmlns="http://schemas.openxmlformats.org/spreadsheetml/2006/main" count="1761" uniqueCount="1036">
  <si>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</si>
  <si>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</si>
  <si>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</si>
  <si>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</si>
  <si>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</si>
  <si>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</si>
  <si>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</si>
  <si>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</si>
  <si>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</si>
  <si>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</si>
  <si>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</si>
  <si>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</si>
  <si>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</si>
  <si>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</si>
  <si>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</si>
  <si>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</si>
  <si>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</si>
  <si>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</si>
  <si>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</si>
  <si>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</si>
  <si>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</si>
  <si>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</si>
  <si>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</si>
  <si>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</si>
  <si>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</si>
  <si>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</si>
  <si>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</si>
  <si>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</si>
  <si>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</si>
  <si>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</si>
  <si>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</si>
  <si>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</si>
  <si>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</si>
  <si>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</si>
  <si>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</si>
  <si>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</si>
  <si>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</si>
  <si>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</si>
  <si>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</si>
  <si>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</si>
  <si>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</si>
  <si>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</si>
  <si>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</si>
  <si>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</si>
  <si>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</si>
  <si>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</si>
  <si>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</si>
  <si>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</si>
  <si>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</si>
  <si>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</si>
  <si>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</si>
  <si>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</si>
  <si>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</si>
  <si>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</si>
  <si>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</si>
  <si>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</si>
  <si>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</si>
  <si>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</si>
  <si>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</si>
  <si>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</si>
  <si>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</si>
  <si>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</si>
  <si>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</si>
  <si>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</si>
  <si>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</si>
  <si>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</si>
  <si>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</si>
  <si>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</si>
  <si>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</si>
  <si>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</si>
  <si>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</si>
  <si>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</si>
  <si>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</si>
  <si>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</si>
  <si>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</si>
  <si>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</si>
  <si>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</si>
  <si>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</si>
  <si>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</si>
  <si>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</si>
  <si>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</si>
  <si>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</si>
  <si>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</si>
  <si>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</si>
  <si>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</si>
  <si>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</si>
  <si>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</si>
  <si>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</si>
  <si>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</si>
  <si>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</si>
  <si>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</si>
  <si>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</si>
  <si>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</si>
  <si>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</si>
  <si>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</si>
  <si>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</si>
  <si>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</si>
  <si>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</si>
  <si>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</si>
  <si>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</si>
  <si>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</si>
  <si>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</si>
  <si>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</si>
  <si>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</si>
  <si>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</si>
  <si>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</si>
  <si>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</si>
  <si>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</si>
  <si>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</si>
  <si>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</si>
  <si>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</si>
  <si>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</si>
  <si>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</si>
  <si>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</si>
  <si>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</si>
  <si>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</si>
  <si>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</si>
  <si>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</si>
  <si>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</si>
  <si>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</si>
  <si>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</si>
  <si>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</si>
  <si>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</si>
  <si>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</si>
  <si>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</si>
  <si>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</si>
  <si>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</si>
  <si>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</si>
  <si>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</si>
  <si>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</si>
  <si>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</si>
  <si>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</si>
  <si>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</si>
  <si>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</si>
  <si>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</si>
  <si>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</si>
  <si>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</si>
  <si>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</si>
  <si>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</si>
  <si>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</si>
  <si>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</si>
  <si>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</si>
  <si>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</si>
  <si>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</si>
  <si>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</si>
  <si>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</si>
  <si>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</si>
  <si>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</si>
  <si>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</si>
  <si>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</si>
  <si>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</si>
  <si>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</si>
  <si>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</si>
  <si>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</si>
  <si>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</si>
  <si>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</si>
  <si>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</si>
  <si>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</si>
  <si>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</si>
  <si>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</si>
  <si>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</si>
  <si>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</si>
  <si>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</si>
  <si>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</si>
  <si>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</si>
  <si>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</si>
  <si>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</si>
  <si>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</si>
  <si>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</si>
  <si>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</si>
  <si>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</si>
  <si>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</si>
  <si>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</si>
  <si>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</si>
  <si>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</si>
  <si>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</si>
  <si>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</si>
  <si>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</si>
  <si>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</si>
  <si>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</si>
  <si>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</si>
  <si>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</si>
  <si>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</si>
  <si>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</si>
  <si>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</si>
  <si>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</si>
  <si>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</si>
  <si>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</si>
  <si>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</si>
  <si>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</si>
  <si>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</si>
  <si>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</si>
  <si>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</si>
  <si>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</si>
  <si>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</si>
  <si>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</si>
  <si>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</si>
  <si>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</si>
  <si>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</si>
  <si>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</si>
  <si>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</si>
  <si>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</si>
  <si>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</si>
  <si>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</si>
  <si>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</si>
  <si>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</si>
  <si>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</si>
  <si>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</si>
  <si>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</si>
  <si>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</si>
  <si>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</si>
  <si>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</si>
  <si>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</si>
  <si>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</si>
  <si>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</si>
  <si>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</si>
  <si>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</si>
  <si>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</si>
  <si>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</si>
  <si>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</si>
  <si>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</si>
  <si>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</si>
  <si>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</si>
  <si>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</si>
  <si>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</si>
  <si>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</si>
  <si>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</si>
  <si>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</si>
  <si>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</si>
  <si>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</si>
  <si>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</si>
  <si>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</si>
  <si>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</si>
  <si>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</si>
  <si>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</si>
  <si>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</si>
  <si>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</si>
  <si>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</si>
  <si>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</si>
  <si>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</si>
  <si>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</si>
  <si>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</si>
  <si>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</si>
  <si>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</si>
  <si>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</si>
  <si>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</si>
  <si>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</si>
  <si>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</si>
  <si>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</si>
  <si>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</si>
  <si>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</si>
  <si>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</si>
  <si>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</si>
  <si>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</si>
  <si>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</si>
  <si>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</si>
  <si>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</si>
  <si>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</si>
  <si>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</si>
  <si>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</si>
  <si>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</si>
  <si>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</si>
  <si>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</si>
  <si>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</si>
  <si>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</si>
  <si>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</si>
  <si>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</si>
  <si>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</si>
  <si>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</si>
  <si>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</si>
  <si>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</si>
  <si>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</si>
  <si>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</si>
  <si>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</si>
  <si>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</si>
  <si>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</si>
  <si>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</si>
  <si>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</si>
  <si>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</si>
  <si>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</si>
  <si>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</si>
  <si>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</si>
  <si>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</si>
  <si>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</si>
  <si>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</si>
  <si>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</si>
  <si>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</si>
  <si>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</si>
  <si>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</si>
  <si>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</si>
  <si>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</si>
  <si>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</si>
  <si>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</si>
  <si>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</si>
  <si>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</si>
  <si>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</si>
  <si>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</si>
  <si>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</si>
  <si>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</si>
  <si>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</si>
  <si>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</si>
  <si>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</si>
  <si>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</si>
  <si>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</si>
  <si>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</si>
  <si>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</si>
  <si>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</si>
  <si>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</si>
  <si>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</si>
  <si>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</si>
  <si>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</si>
  <si>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</si>
  <si>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</si>
  <si>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</si>
  <si>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</si>
  <si>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</si>
  <si>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</si>
  <si>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</si>
  <si>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</si>
  <si>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</si>
  <si>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</si>
  <si>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</si>
  <si>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</si>
  <si>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</si>
  <si>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</si>
  <si>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</si>
  <si>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</si>
  <si>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</si>
  <si>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</si>
  <si>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</si>
  <si>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</si>
  <si>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</si>
  <si>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</si>
  <si>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</si>
  <si>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</si>
  <si>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</si>
  <si>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</si>
  <si>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</si>
  <si>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</si>
  <si>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</si>
  <si>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</si>
  <si>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</si>
  <si>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</si>
  <si>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</si>
  <si>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</si>
  <si>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</si>
  <si>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</si>
  <si>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</si>
  <si>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</si>
  <si>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</si>
  <si>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</si>
  <si>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</si>
  <si>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</si>
  <si>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</si>
  <si>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</si>
  <si>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</si>
  <si>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</si>
  <si>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</si>
  <si>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</si>
  <si>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</si>
  <si>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</si>
  <si>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</si>
  <si>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</si>
  <si>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</si>
  <si>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</si>
  <si>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</si>
  <si>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</si>
  <si>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</si>
  <si>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</si>
  <si>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</si>
  <si>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</si>
  <si>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</si>
  <si>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</si>
  <si>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</si>
  <si>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</si>
  <si>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</si>
  <si>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</si>
  <si>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</si>
  <si>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</si>
  <si>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</si>
  <si>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</si>
  <si>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</si>
  <si>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</si>
  <si>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</si>
  <si>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</si>
  <si>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</si>
  <si>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</si>
  <si>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</si>
  <si>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</si>
  <si>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</si>
  <si>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</si>
  <si>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</si>
  <si>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</si>
  <si>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</si>
  <si>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</si>
  <si>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</si>
  <si>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</si>
  <si>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</si>
  <si>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</si>
  <si>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</si>
  <si>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</si>
  <si>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</si>
  <si>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</si>
  <si>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</si>
  <si>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</si>
  <si>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</si>
  <si>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</si>
  <si>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</si>
  <si>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</si>
  <si>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</si>
  <si>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</si>
  <si>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</si>
  <si>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</si>
  <si>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</si>
  <si>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</si>
  <si>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</si>
  <si>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</si>
  <si>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</si>
  <si>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</si>
  <si>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</si>
  <si>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</si>
  <si>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</si>
  <si>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</si>
  <si>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</si>
  <si>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</si>
  <si>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</si>
  <si>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</si>
  <si>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</si>
  <si>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</si>
  <si>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</si>
  <si>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</si>
  <si>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</si>
  <si>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</si>
  <si>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</si>
  <si>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</si>
  <si>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</si>
  <si>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</si>
  <si>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</si>
  <si>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</si>
  <si>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</si>
  <si>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</si>
  <si>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</si>
  <si>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</si>
  <si>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</si>
  <si>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</si>
  <si>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</si>
  <si>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</si>
  <si>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</si>
  <si>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</si>
  <si>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</si>
  <si>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</si>
  <si>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</si>
  <si>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</si>
  <si>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</si>
  <si>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</si>
  <si>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</si>
  <si>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</si>
  <si>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</si>
  <si>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</si>
  <si>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</si>
  <si>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</si>
  <si>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</si>
  <si>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</si>
  <si>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</si>
  <si>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</si>
  <si>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</si>
  <si>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</si>
  <si>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</si>
  <si>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</si>
  <si>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</si>
  <si>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</si>
  <si>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</si>
  <si>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</si>
  <si>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</si>
  <si>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</si>
  <si>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</si>
  <si>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</si>
  <si>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</si>
  <si>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</si>
  <si>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</si>
  <si>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</si>
  <si>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</si>
  <si>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</si>
  <si>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</si>
  <si>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</si>
  <si>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</si>
  <si>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</si>
  <si>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</si>
  <si>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</si>
  <si>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</si>
  <si>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</si>
  <si>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</si>
  <si>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</si>
  <si>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</si>
  <si>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</si>
  <si>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</si>
  <si>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</si>
  <si>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</si>
  <si>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</si>
  <si>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</si>
  <si>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</si>
  <si>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</si>
  <si>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</si>
  <si>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</si>
  <si>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</si>
  <si>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</si>
  <si>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</si>
  <si>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</si>
  <si>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</si>
  <si>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</si>
  <si>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</si>
  <si>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</si>
  <si>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</si>
  <si>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</si>
  <si>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</si>
  <si>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</si>
  <si>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</si>
  <si>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</si>
  <si>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</si>
  <si>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</si>
  <si>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</si>
  <si>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</si>
  <si>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</si>
  <si>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</si>
  <si>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</si>
  <si>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</si>
  <si>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</si>
  <si>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</si>
  <si>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</si>
  <si>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</si>
  <si>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</si>
  <si>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</si>
  <si>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</si>
  <si>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</si>
  <si>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</si>
  <si>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</si>
  <si>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</si>
  <si>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</si>
  <si>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</si>
  <si>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</si>
  <si>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</si>
  <si>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</si>
  <si>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</si>
  <si>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</si>
  <si>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</si>
  <si>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</si>
  <si>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</si>
  <si>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</si>
  <si>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</si>
  <si>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</si>
  <si>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</si>
  <si>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</si>
  <si>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</si>
  <si>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</si>
  <si>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</si>
  <si>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</si>
  <si>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</si>
  <si>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</si>
  <si>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</si>
  <si>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</si>
  <si>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</si>
  <si>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</si>
  <si>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</si>
  <si>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</si>
  <si>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</si>
  <si>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</si>
  <si>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</si>
  <si>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</si>
  <si>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</si>
  <si>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</si>
  <si>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</si>
  <si>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</si>
  <si>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</si>
  <si>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</si>
  <si>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</si>
  <si>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</si>
  <si>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</si>
  <si>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</si>
  <si>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</si>
  <si>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</si>
  <si>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</si>
  <si>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</si>
  <si>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</si>
  <si>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</si>
  <si>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</si>
  <si>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</si>
  <si>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</si>
  <si>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</si>
  <si>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</si>
  <si>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</si>
  <si>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</si>
  <si>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</si>
  <si>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</si>
  <si>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</si>
  <si>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</si>
  <si>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</si>
  <si>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</si>
  <si>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</si>
  <si>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</si>
  <si>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</si>
  <si>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</si>
  <si>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</si>
  <si>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</si>
  <si>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</si>
  <si>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</si>
  <si>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</si>
  <si>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</si>
  <si>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</si>
  <si>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</si>
  <si>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</si>
  <si>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</si>
  <si>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</si>
  <si>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</si>
  <si>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</si>
  <si>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</si>
  <si>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</si>
  <si>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</si>
  <si>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</si>
  <si>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</si>
  <si>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</si>
  <si>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</si>
  <si>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</si>
  <si>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</si>
  <si>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</si>
  <si>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</si>
  <si>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</si>
  <si>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</si>
  <si>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</si>
  <si>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</si>
  <si>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</si>
  <si>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</si>
  <si>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</si>
  <si>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</si>
  <si>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</si>
  <si>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</si>
  <si>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</si>
  <si>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</si>
  <si>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</si>
  <si>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</si>
  <si>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</si>
  <si>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</si>
  <si>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</si>
  <si>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</si>
  <si>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</si>
  <si>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</si>
  <si>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</si>
  <si>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</si>
  <si>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</si>
  <si>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</si>
  <si>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</si>
  <si>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</si>
  <si>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</si>
  <si>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</si>
  <si>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</si>
  <si>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</si>
  <si>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</si>
  <si>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</si>
  <si>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</si>
  <si>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</si>
  <si>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</si>
  <si>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</si>
  <si>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</si>
  <si>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</si>
  <si>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</si>
  <si>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</si>
  <si>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</si>
  <si>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</si>
  <si>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</si>
  <si>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</si>
  <si>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</si>
  <si>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</si>
  <si>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</si>
  <si>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</si>
  <si>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</si>
  <si>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</si>
  <si>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</si>
  <si>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</si>
  <si>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</si>
  <si>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</si>
  <si>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</si>
  <si>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</si>
  <si>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</si>
  <si>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</si>
  <si>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</si>
  <si>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</si>
  <si>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</si>
  <si>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</si>
  <si>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</si>
  <si>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</si>
  <si>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</si>
  <si>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</si>
  <si>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</si>
  <si>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</si>
  <si>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</si>
  <si>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</si>
  <si>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</si>
  <si>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</si>
  <si>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</si>
  <si>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</si>
  <si>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</si>
  <si>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</si>
  <si>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</si>
  <si>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</si>
  <si>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</si>
  <si>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</si>
  <si>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</si>
  <si>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</si>
  <si>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</si>
  <si>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</si>
  <si>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</si>
  <si>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</si>
  <si>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</si>
  <si>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</si>
  <si>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</si>
  <si>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</si>
  <si>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</si>
  <si>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</si>
  <si>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</si>
  <si>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</si>
  <si>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</si>
  <si>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</si>
  <si>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</si>
  <si>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</si>
  <si>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</si>
  <si>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</si>
  <si>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</si>
  <si>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</si>
  <si>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</si>
  <si>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</si>
  <si>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</si>
  <si>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</si>
  <si>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</si>
  <si>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</si>
  <si>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</si>
  <si>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</si>
  <si>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</si>
  <si>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</si>
  <si>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</si>
  <si>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</si>
  <si>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</si>
  <si>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</si>
  <si>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</si>
  <si>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</si>
  <si>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</si>
  <si>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</si>
  <si>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</si>
  <si>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</si>
  <si>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</si>
  <si>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</si>
  <si>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</si>
  <si>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</si>
  <si>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</si>
  <si>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</si>
  <si>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</si>
  <si>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</si>
  <si>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</si>
  <si>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</si>
  <si>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</si>
  <si>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</si>
  <si>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</si>
  <si>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</si>
  <si>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</si>
  <si>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</si>
  <si>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</si>
  <si>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</si>
  <si>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</si>
  <si>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</si>
  <si>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</si>
  <si>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</si>
  <si>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</si>
  <si>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</si>
  <si>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</si>
  <si>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</si>
  <si>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</si>
  <si>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</si>
  <si>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</si>
  <si>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</si>
  <si>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</si>
  <si>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</si>
  <si>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</si>
  <si>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</si>
  <si>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</si>
  <si>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</si>
  <si>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</si>
  <si>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</si>
  <si>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</si>
  <si>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</si>
  <si>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</si>
  <si>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</si>
  <si>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</si>
  <si>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</si>
  <si>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</si>
  <si>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</si>
  <si>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</si>
  <si>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</si>
  <si>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</si>
  <si>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</si>
  <si>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</si>
  <si>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</si>
  <si>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</si>
  <si>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</si>
  <si>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</si>
  <si>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</si>
  <si>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</si>
  <si>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</si>
  <si>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</si>
  <si>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</si>
  <si>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</si>
  <si>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</si>
  <si>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</si>
  <si>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</si>
  <si>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</si>
  <si>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</si>
  <si>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</si>
  <si>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</si>
  <si>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</si>
  <si>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</si>
  <si>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</si>
  <si>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</si>
  <si>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</si>
  <si>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</si>
  <si>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</si>
  <si>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</si>
  <si>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</si>
  <si>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</si>
  <si>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</si>
  <si>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</si>
  <si>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</si>
  <si>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</si>
  <si>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</si>
  <si>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</si>
  <si>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</si>
  <si>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</si>
  <si>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</si>
  <si>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</si>
  <si>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</si>
  <si>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</si>
  <si>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</si>
  <si>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</si>
  <si>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</si>
  <si>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</si>
  <si>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</si>
  <si>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</si>
  <si>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</si>
  <si>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</si>
  <si>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</si>
  <si>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</si>
  <si>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</si>
  <si>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</si>
  <si>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</si>
  <si>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</si>
  <si>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</si>
  <si>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</si>
  <si>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</si>
  <si>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</si>
  <si>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</si>
  <si>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</si>
  <si>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</si>
  <si>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</si>
  <si>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</si>
  <si>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</si>
  <si>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</si>
  <si>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</si>
  <si>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</si>
  <si>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</si>
  <si>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</si>
  <si>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</si>
  <si>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</si>
  <si>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</si>
  <si>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</si>
  <si>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</si>
  <si>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</si>
  <si>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</si>
  <si>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</si>
  <si>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</si>
  <si>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</si>
  <si>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</si>
  <si>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</si>
  <si>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</si>
  <si>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</si>
  <si>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</si>
  <si>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</si>
  <si>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</si>
  <si>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</si>
  <si>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</si>
  <si>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</si>
  <si>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</si>
  <si>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</si>
  <si>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</si>
  <si>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</si>
  <si>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</si>
  <si>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</si>
  <si>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</si>
  <si>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</si>
  <si>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</si>
  <si>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</si>
  <si>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</si>
  <si>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</si>
  <si>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</si>
  <si>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</si>
  <si>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</si>
  <si>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</si>
  <si>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</si>
  <si>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</si>
  <si>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</si>
  <si>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</si>
  <si>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</si>
  <si>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</si>
  <si>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</si>
  <si>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</si>
  <si>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</si>
  <si>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</si>
  <si>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</si>
  <si>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</si>
  <si>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</si>
  <si>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</si>
  <si>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</si>
  <si>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</si>
  <si>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</si>
  <si>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</si>
  <si>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</si>
  <si>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</si>
  <si>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</si>
  <si>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</si>
  <si>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</si>
  <si>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</si>
  <si>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</si>
  <si>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</si>
  <si>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</si>
  <si>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</si>
  <si>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</si>
  <si>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</si>
  <si>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</si>
  <si>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</si>
  <si>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</si>
  <si>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</si>
  <si>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</si>
  <si>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</si>
  <si>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</si>
  <si>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</si>
  <si>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</si>
  <si>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</si>
  <si>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</si>
  <si>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</si>
  <si>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</si>
  <si>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</si>
  <si>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</si>
  <si>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</si>
  <si>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</si>
  <si>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</si>
  <si>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</si>
  <si>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</si>
  <si>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</si>
  <si>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</si>
  <si>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</si>
  <si>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</si>
  <si>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</si>
  <si>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</si>
  <si>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</si>
  <si>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</si>
  <si>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</si>
  <si>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</si>
  <si>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</si>
  <si>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</si>
  <si>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</si>
  <si>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</si>
  <si>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</si>
  <si>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</si>
  <si>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</si>
  <si>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</si>
  <si>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</si>
  <si>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</si>
  <si>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</si>
  <si>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</si>
  <si>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</si>
  <si>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</si>
  <si>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</si>
  <si>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</si>
  <si>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</si>
  <si>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</si>
  <si>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</si>
  <si>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</si>
  <si>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</si>
  <si>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</si>
  <si>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</si>
  <si>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</si>
  <si>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</si>
  <si>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</si>
  <si>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</si>
  <si>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</si>
  <si>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</si>
  <si>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</si>
  <si>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</si>
  <si>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</si>
  <si>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</si>
  <si>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</si>
  <si>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</si>
  <si>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</si>
  <si>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</si>
  <si>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</si>
  <si>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</si>
  <si>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</si>
  <si>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</si>
  <si>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</si>
  <si>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</si>
  <si>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</si>
  <si>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</si>
  <si>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</si>
  <si>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</si>
  <si>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</si>
  <si>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</si>
  <si>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</si>
  <si>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</si>
  <si>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2026-09-09</t>
  </si>
  <si>
    <t xml:space="preserve">Tristan Roets</t>
  </si>
  <si>
    <t xml:space="preserve">ChatGPT (OpenAI, GPT-5.6 Sol)</t>
  </si>
  <si>
    <t xml:space="preserve">Reviewing M1 GitHub pull requests and preparing Risk Register and Forward Engineering Consideration evidence</t>
  </si>
  <si>
    <t xml:space="preserve">Assisted with identifying review blockers, checking traceability and governance issues, drafting review wording, and structuring Risk Register and FEC notes.</t>
  </si>
  <si>
    <t xml:space="preserve">Compared the recommendations against the live GitHub pull requests, current main branch, CONTRIBUTING.md, issue requirements, and the controlled workbook and PED before accepting or revising them.</t>
  </si>
  <si>
    <t xml:space="preserve">Accepted after revision</t>
  </si>
  <si>
    <t xml:space="preserve">Some suggestions were based on incomplete or outdated repository state. These were rechecked against the live repository, corrected where necessary, and unsupported claims were rejected.</t>
  </si>
  <si>
    <t xml:space="preserve">Materialised - active (review delay recorded 9 September 2026)</t>
  </si>
  <si>
    <t xml:space="preserve">CON-08, FEC-07, #11, PR #18, PR #19, PR #31</t>
  </si>
  <si>
    <t xml:space="preserve">Materialised - active (member availability affected M1 review capacity on 9 September 2026)</t>
  </si>
  <si>
    <t xml:space="preserve">CON-02, CON-06, CON-08, FEC-07, #11</t>
  </si>
  <si>
    <t xml:space="preserve">RSK-15</t>
  </si>
  <si>
    <t xml:space="preserve">A controlled engineering artefact cannot be safely reproduced or corrected because only the rendered output is retained.</t>
  </si>
  <si>
    <t xml:space="preserve">Generated diagrams or similar artefacts are committed without their editable source or generation script.</t>
  </si>
  <si>
    <t xml:space="preserve">Commit editable source or generation scripts alongside generated artefacts, and regenerate and compare outputs against the authoritative register.</t>
  </si>
  <si>
    <t xml:space="preserve">Record the limitation, reconstruct the source, and independently verify the replacement against the controlled evidence before accepting it.</t>
  </si>
  <si>
    <t xml:space="preserve">Jean Smit</t>
  </si>
  <si>
    <t xml:space="preserve">Materialised - Figure 2, issue #27</t>
  </si>
  <si>
    <t xml:space="preserve">#27, PED s16.1, Status Model sheet, Figure 2, #36</t>
  </si>
  <si>
    <t xml:space="preserve">Team approval - Jean Smit</t>
  </si>
  <si>
    <t xml:space="preserve">Team approval - Tristan Roets</t>
  </si>
  <si>
    <t xml:space="preserve">Team approval - Darius Mushi</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</si>
</sst>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s">
        <v>6</v>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inlineStr">
        <is>
          <t xml:space="preserve">M2 (29 September 2026): RTM columns G to N record M2 evidence, and a cell with no evidence yet holds a controlled status rather than being left blank (#54, CR-003).
M1 baseline: RTM columns H to L and the GitHub Governance evidence column stay empty until M2 and M3. That is intended - they show the traceability structure is ready.</t>
        </is>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9</v>
      </c>
    </row>
    <row r="23" customFormat="false" ht="15" hidden="false" customHeight="false" outlineLevel="0" collapsed="false">
      <c r="A23" s="3" t="s">
        <v>27</v>
      </c>
      <c r="B23" s="6" t="n">
        <f aca="false">COUNTIF('Risk Register'!G3:G200,"Medium")</f>
        <v>12</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15</v>
      </c>
    </row>
    <row r="27" customFormat="false" ht="15" hidden="false" customHeight="false" outlineLevel="0" collapsed="false">
      <c r="A27" s="3" t="s">
        <v>31</v>
      </c>
      <c r="B27" s="6" t="n">
        <f aca="false">COUNTIF('Decision Log'!C3:C200,"DEFERRED to M2")</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48"/>
    <col collapsed="false" customWidth="true" hidden="false" outlineLevel="0" max="5" min="5" style="0" width="10"/>
    <col collapsed="false" customWidth="true" hidden="false" outlineLevel="0" max="6" min="6" style="0" width="26"/>
    <col collapsed="false" customWidth="true" hidden="false" outlineLevel="0" max="7" min="7" style="0" width="24"/>
    <col collapsed="false" customWidth="true" hidden="false" outlineLevel="0" max="8" min="8" style="0" width="24"/>
    <col collapsed="false" customWidth="true" hidden="false" outlineLevel="0" max="9" min="9" style="0" width="34"/>
    <col collapsed="false" customWidth="true" hidden="false" outlineLevel="0" max="10" min="10" style="0" width="34"/>
    <col collapsed="false" customWidth="true" hidden="false" outlineLevel="0" max="11" min="11" style="0" width="26"/>
    <col collapsed="false" customWidth="true" hidden="false" outlineLevel="0" max="12" min="12" style="0" width="32"/>
    <col collapsed="false" customWidth="true" hidden="false" outlineLevel="0" max="13" min="13" style="0" width="36"/>
    <col collapsed="false" customWidth="true" hidden="false" outlineLevel="0" max="14" min="14" style="0" width="26"/>
    <col collapsed="false" customWidth="true" hidden="false" outlineLevel="0" max="15" min="15" style="0" width="12"/>
  </cols>
  <sheetData>
    <row r="1" customFormat="false" ht="38.25" hidden="false" customHeight="true" outlineLevel="0" collapsed="false">
      <c r="A1" s="7" t="inlineStr">
        <is>
          <t xml:space="preserve">Requirements Traceability Matrix. From M2 (#54, CR-003), columns G to N trace each requirement to its quality driver, module, data, design, technology, implementation and verification evidence. A cell with no evidence yet holds a controlled status: Planned (M3), Not yet designed, Not yet decided, Not yet implemented or Not applicable. FR-016 is traced end to end.</t>
        </is>
      </c>
      <c r="B1" s="7"/>
      <c r="C1" s="7"/>
      <c r="D1" s="7"/>
      <c r="E1" s="7"/>
      <c r="F1" s="7"/>
      <c r="G1" s="7"/>
      <c r="H1" s="7"/>
      <c r="I1" s="7"/>
      <c r="J1" s="7"/>
      <c r="K1" s="7"/>
      <c r="L1" s="7"/>
      <c r="M1" s="7"/>
      <c r="N1" s="7"/>
      <c r="O1" s="7"/>
    </row>
    <row r="2" customFormat="false" ht="30" hidden="false" customHeight="true" outlineLevel="0" collapsed="false">
      <c r="A2" s="8" t="s">
        <v>372</v>
      </c>
      <c r="B2" s="8" t="s">
        <v>373</v>
      </c>
      <c r="C2" s="8" t="s">
        <v>374</v>
      </c>
      <c r="D2" s="8" t="s">
        <v>375</v>
      </c>
      <c r="E2" s="8" t="s">
        <v>174</v>
      </c>
      <c r="F2" s="8" t="s">
        <v>175</v>
      </c>
      <c r="G2" s="8" t="inlineStr">
        <is>
          <t xml:space="preserve">ASR or quality driver</t>
        </is>
      </c>
      <c r="H2" s="8" t="inlineStr">
        <is>
          <t xml:space="preserve">Architecture module or component</t>
        </is>
      </c>
      <c r="I2" s="8" t="inlineStr">
        <is>
          <t xml:space="preserve">Data and persistence impact</t>
        </is>
      </c>
      <c r="J2" s="8" t="inlineStr">
        <is>
          <t xml:space="preserve">Design or interface decision</t>
        </is>
      </c>
      <c r="K2" s="8" t="inlineStr">
        <is>
          <t xml:space="preserve">Technology decision</t>
        </is>
      </c>
      <c r="L2" s="8" t="inlineStr">
        <is>
          <t xml:space="preserve">Implementation evidence</t>
        </is>
      </c>
      <c r="M2" s="8" t="inlineStr">
        <is>
          <t xml:space="preserve">Verification evidence</t>
        </is>
      </c>
      <c r="N2" s="8" t="inlineStr">
        <is>
          <t xml:space="preserve">ADR, change or risk reference</t>
        </is>
      </c>
      <c r="O2" s="8" t="s">
        <v>176</v>
      </c>
    </row>
    <row r="3" customFormat="false" ht="47.6" hidden="false" customHeight="false" outlineLevel="0" collapsed="false">
      <c r="A3" s="9" t="s">
        <v>382</v>
      </c>
      <c r="B3" s="9" t="s">
        <v>179</v>
      </c>
      <c r="C3" s="9" t="s">
        <v>177</v>
      </c>
      <c r="D3" s="9" t="s">
        <v>383</v>
      </c>
      <c r="E3" s="9" t="s">
        <v>180</v>
      </c>
      <c r="F3" s="9" t="s">
        <v>384</v>
      </c>
      <c r="G3" s="9" t="inlineStr">
        <is>
          <t xml:space="preserve">None. Not cited by ASR-01 to ASR-06</t>
        </is>
      </c>
      <c r="H3" s="9" t="inlineStr">
        <is>
          <t xml:space="preserve">Identity and access</t>
        </is>
      </c>
      <c r="I3" s="9" t="inlineStr">
        <is>
          <t xml:space="preserve">Proposed, ADR-007 (#97, under review): User, with a unique email and an active flag. Credential storage not yet designed</t>
        </is>
      </c>
      <c r="J3" s="9" t="inlineStr">
        <is>
          <t xml:space="preserve">Not yet designed. Authentication is part of the RSK-01 proof of concept (ADR-002)</t>
        </is>
      </c>
      <c r="K3" s="9" t="inlineStr">
        <is>
          <t xml:space="preserve">ADR-002 (DEC-008, #91): Node.js 24, Express 5, Prisma 7 on PostgreSQL</t>
        </is>
      </c>
      <c r="L3" s="9" t="inlineStr">
        <is>
          <t xml:space="preserve">Not yet implemented</t>
        </is>
      </c>
      <c r="M3" s="9" t="inlineStr">
        <is>
          <t xml:space="preserve">Planned (M3)</t>
        </is>
      </c>
      <c r="N3" s="9" t="inlineStr">
        <is>
          <t xml:space="preserve">RSK-05, RSK-01, ADR-002</t>
        </is>
      </c>
      <c r="O3" s="9" t="s">
        <v>182</v>
      </c>
    </row>
    <row r="4" customFormat="false" ht="35.7" hidden="false" customHeight="false" outlineLevel="0" collapsed="false">
      <c r="A4" s="10" t="s">
        <v>389</v>
      </c>
      <c r="B4" s="10" t="s">
        <v>185</v>
      </c>
      <c r="C4" s="10" t="s">
        <v>183</v>
      </c>
      <c r="D4" s="10" t="s">
        <v>390</v>
      </c>
      <c r="E4" s="10" t="s">
        <v>180</v>
      </c>
      <c r="F4" s="10" t="s">
        <v>384</v>
      </c>
      <c r="G4" s="10" t="inlineStr">
        <is>
          <t xml:space="preserve">ASR-01 server-side authorisation with record-level scope</t>
        </is>
      </c>
      <c r="H4" s="10" t="inlineStr">
        <is>
          <t xml:space="preserve">Authorisation policy, cross-cutting and used by every module</t>
        </is>
      </c>
      <c r="I4" s="10" t="inlineStr">
        <is>
          <t xml:space="preserve">Proposed, ADR-007 (#97, under review): User.role and UserCategory</t>
        </is>
      </c>
      <c r="J4" s="10" t="inlineStr">
        <is>
          <t xml:space="preserve">ADR-006 (DEC-014): permits() for actions and scopes for reads, in one policy module</t>
        </is>
      </c>
      <c r="K4" s="10" t="inlineStr">
        <is>
          <t xml:space="preserve">ADR-002 (DEC-008, #91): Node.js 24, Express 5, Prisma 7 on PostgreSQL</t>
        </is>
      </c>
      <c r="L4" s="10" t="inlineStr">
        <is>
          <t xml:space="preserve">src/modules/authorisation-policy/policy.js (#94, merged)</t>
        </is>
      </c>
      <c r="M4" s="10" t="inlineStr">
        <is>
          <t xml:space="preserve">tests/authorisation-policy.test.js (#94): every Access Matrix cell. Endpoint negative tests planned (M3)</t>
        </is>
      </c>
      <c r="N4" s="10" t="inlineStr">
        <is>
          <t xml:space="preserve">RSK-05, FEC-01, ADR-006, CR-002 (#92)</t>
        </is>
      </c>
      <c r="O4" s="10" t="s">
        <v>182</v>
      </c>
    </row>
    <row r="5" customFormat="false" ht="35.7" hidden="false" customHeight="false" outlineLevel="0" collapsed="false">
      <c r="A5" s="9" t="s">
        <v>392</v>
      </c>
      <c r="B5" s="9" t="s">
        <v>63</v>
      </c>
      <c r="C5" s="9" t="s">
        <v>187</v>
      </c>
      <c r="D5" s="9" t="s">
        <v>188</v>
      </c>
      <c r="E5" s="9" t="s">
        <v>180</v>
      </c>
      <c r="F5" s="9" t="s">
        <v>384</v>
      </c>
      <c r="G5" s="9" t="inlineStr">
        <is>
          <t xml:space="preserve">None. Not cited by ASR-01 to ASR-06</t>
        </is>
      </c>
      <c r="H5" s="9" t="inlineStr">
        <is>
          <t xml:space="preserve">Identity and access</t>
        </is>
      </c>
      <c r="I5" s="9" t="inlineStr">
        <is>
          <t xml:space="preserve">Proposed, ADR-007 (#97, under review): User.role, one role per user</t>
        </is>
      </c>
      <c r="J5" s="9" t="inlineStr">
        <is>
          <t xml:space="preserve">Not yet designed</t>
        </is>
      </c>
      <c r="K5" s="9" t="inlineStr">
        <is>
          <t xml:space="preserve">ADR-002 (DEC-008, #91): Node.js 24, Express 5, Prisma 7 on PostgreSQL</t>
        </is>
      </c>
      <c r="L5" s="9" t="inlineStr">
        <is>
          <t xml:space="preserve">Not yet implemented</t>
        </is>
      </c>
      <c r="M5" s="9" t="inlineStr">
        <is>
          <t xml:space="preserve">Planned (M3)</t>
        </is>
      </c>
      <c r="N5" s="9" t="inlineStr">
        <is>
          <t xml:space="preserve">ADR-007 (proposed)</t>
        </is>
      </c>
      <c r="O5" s="9" t="s">
        <v>182</v>
      </c>
    </row>
    <row r="6" customFormat="false" ht="35.7" hidden="false" customHeight="false" outlineLevel="0" collapsed="false">
      <c r="A6" s="10" t="s">
        <v>394</v>
      </c>
      <c r="B6" s="10" t="s">
        <v>40</v>
      </c>
      <c r="C6" s="10" t="s">
        <v>190</v>
      </c>
      <c r="D6" s="10" t="s">
        <v>395</v>
      </c>
      <c r="E6" s="10" t="s">
        <v>192</v>
      </c>
      <c r="F6" s="10" t="s">
        <v>384</v>
      </c>
      <c r="G6" s="10" t="inlineStr">
        <is>
          <t xml:space="preserve">None. Not cited by ASR-01 to ASR-06</t>
        </is>
      </c>
      <c r="H6" s="10" t="inlineStr">
        <is>
          <t xml:space="preserve">Identity and access</t>
        </is>
      </c>
      <c r="I6" s="10" t="inlineStr">
        <is>
          <t xml:space="preserve">Not yet designed</t>
        </is>
      </c>
      <c r="J6" s="10" t="inlineStr">
        <is>
          <t xml:space="preserve">Not yet designed</t>
        </is>
      </c>
      <c r="K6" s="10" t="inlineStr">
        <is>
          <t xml:space="preserve">ADR-002 (DEC-008, #91): Node.js 24, Express 5, Prisma 7 on PostgreSQL</t>
        </is>
      </c>
      <c r="L6" s="10" t="inlineStr">
        <is>
          <t xml:space="preserve">Not yet implemented</t>
        </is>
      </c>
      <c r="M6" s="10" t="inlineStr">
        <is>
          <t xml:space="preserve">Planned (M3)</t>
        </is>
      </c>
      <c r="N6" s="10" t="inlineStr">
        <is>
          <t xml:space="preserve">RSK-05</t>
        </is>
      </c>
      <c r="O6" s="10" t="s">
        <v>182</v>
      </c>
    </row>
    <row r="7" customFormat="false" ht="35.7" hidden="false" customHeight="false" outlineLevel="0" collapsed="false">
      <c r="A7" s="9" t="s">
        <v>396</v>
      </c>
      <c r="B7" s="9" t="s">
        <v>40</v>
      </c>
      <c r="C7" s="9" t="s">
        <v>194</v>
      </c>
      <c r="D7" s="9" t="s">
        <v>397</v>
      </c>
      <c r="E7" s="9" t="s">
        <v>180</v>
      </c>
      <c r="F7" s="9" t="s">
        <v>384</v>
      </c>
      <c r="G7" s="9" t="inlineStr">
        <is>
          <t xml:space="preserve">None. Not cited by ASR-01 to ASR-06</t>
        </is>
      </c>
      <c r="H7" s="9" t="inlineStr">
        <is>
          <t xml:space="preserve">Request capture</t>
        </is>
      </c>
      <c r="I7" s="9" t="inlineStr">
        <is>
          <t xml:space="preserve">Proposed, ADR-007 (#97, under review): Request. Location and reported urgency were requested on review of #97</t>
        </is>
      </c>
      <c r="J7" s="9" t="inlineStr">
        <is>
          <t xml:space="preserve">Not yet designed</t>
        </is>
      </c>
      <c r="K7" s="9" t="inlineStr">
        <is>
          <t xml:space="preserve">ADR-002 (DEC-008, #91): Node.js 24, Express 5, Prisma 7 on PostgreSQL</t>
        </is>
      </c>
      <c r="L7" s="9" t="inlineStr">
        <is>
          <t xml:space="preserve">Not yet implemented</t>
        </is>
      </c>
      <c r="M7" s="9" t="inlineStr">
        <is>
          <t xml:space="preserve">Planned (M3)</t>
        </is>
      </c>
      <c r="N7" s="9" t="inlineStr">
        <is>
          <t xml:space="preserve">ADR-007 (proposed)</t>
        </is>
      </c>
      <c r="O7" s="9" t="s">
        <v>182</v>
      </c>
    </row>
    <row r="8" customFormat="false" ht="35.7" hidden="false" customHeight="false" outlineLevel="0" collapsed="false">
      <c r="A8" s="10" t="s">
        <v>398</v>
      </c>
      <c r="B8" s="10" t="s">
        <v>199</v>
      </c>
      <c r="C8" s="10" t="s">
        <v>197</v>
      </c>
      <c r="D8" s="10" t="s">
        <v>399</v>
      </c>
      <c r="E8" s="10" t="s">
        <v>180</v>
      </c>
      <c r="F8" s="10" t="s">
        <v>384</v>
      </c>
      <c r="G8" s="10" t="inlineStr">
        <is>
          <t xml:space="preserve">None. Not cited by ASR-01 to ASR-06</t>
        </is>
      </c>
      <c r="H8" s="10" t="inlineStr">
        <is>
          <t xml:space="preserve">Request capture</t>
        </is>
      </c>
      <c r="I8" s="10" t="inlineStr">
        <is>
          <t xml:space="preserve">Proposed, ADR-007 (#97, under review): Category with an active flag, referenced by a foreign key</t>
        </is>
      </c>
      <c r="J8" s="10" t="inlineStr">
        <is>
          <t xml:space="preserve">Not yet designed</t>
        </is>
      </c>
      <c r="K8" s="10" t="inlineStr">
        <is>
          <t xml:space="preserve">ADR-002 (DEC-008, #91): Node.js 24, Express 5, Prisma 7 on PostgreSQL</t>
        </is>
      </c>
      <c r="L8" s="10" t="inlineStr">
        <is>
          <t xml:space="preserve">Not yet implemented</t>
        </is>
      </c>
      <c r="M8" s="10" t="inlineStr">
        <is>
          <t xml:space="preserve">Planned (M3)</t>
        </is>
      </c>
      <c r="N8" s="10" t="inlineStr">
        <is>
          <t xml:space="preserve">FEC-02, ADR-007 (proposed)</t>
        </is>
      </c>
      <c r="O8" s="10" t="s">
        <v>182</v>
      </c>
    </row>
    <row r="9" customFormat="false" ht="35.7" hidden="false" customHeight="false" outlineLevel="0" collapsed="false">
      <c r="A9" s="9" t="s">
        <v>401</v>
      </c>
      <c r="B9" s="9" t="s">
        <v>40</v>
      </c>
      <c r="C9" s="9" t="s">
        <v>201</v>
      </c>
      <c r="D9" s="9" t="s">
        <v>402</v>
      </c>
      <c r="E9" s="9" t="s">
        <v>180</v>
      </c>
      <c r="F9" s="9" t="s">
        <v>384</v>
      </c>
      <c r="G9" s="9" t="inlineStr">
        <is>
          <t xml:space="preserve">None. Not cited by ASR-01 to ASR-06</t>
        </is>
      </c>
      <c r="H9" s="9" t="inlineStr">
        <is>
          <t xml:space="preserve">Request capture</t>
        </is>
      </c>
      <c r="I9" s="9" t="inlineStr">
        <is>
          <t xml:space="preserve">Proposed, ADR-007 (#97, under review): Not-null and foreign-key constraints behind service validation</t>
        </is>
      </c>
      <c r="J9" s="9" t="inlineStr">
        <is>
          <t xml:space="preserve">ADR-007 (proposed): validation divided across interface, service and database (A2 Task 2)</t>
        </is>
      </c>
      <c r="K9" s="9" t="inlineStr">
        <is>
          <t xml:space="preserve">ADR-002 (DEC-008, #91): Node.js 24, Express 5, Prisma 7 on PostgreSQL</t>
        </is>
      </c>
      <c r="L9" s="9" t="inlineStr">
        <is>
          <t xml:space="preserve">Not yet implemented</t>
        </is>
      </c>
      <c r="M9" s="9" t="inlineStr">
        <is>
          <t xml:space="preserve">Planned (M3)</t>
        </is>
      </c>
      <c r="N9" s="9" t="inlineStr">
        <is>
          <t xml:space="preserve">ADR-007 (proposed)</t>
        </is>
      </c>
      <c r="O9" s="9" t="s">
        <v>182</v>
      </c>
    </row>
    <row r="10" customFormat="false" ht="47.6" hidden="false" customHeight="false" outlineLevel="0" collapsed="false">
      <c r="A10" s="10" t="s">
        <v>403</v>
      </c>
      <c r="B10" s="10" t="s">
        <v>205</v>
      </c>
      <c r="C10" s="10" t="s">
        <v>102</v>
      </c>
      <c r="D10" s="10" t="s">
        <v>204</v>
      </c>
      <c r="E10" s="10" t="s">
        <v>180</v>
      </c>
      <c r="F10" s="10" t="s">
        <v>384</v>
      </c>
      <c r="G10" s="10" t="inlineStr">
        <is>
          <t xml:space="preserve">None. Not cited by ASR-01 to ASR-06</t>
        </is>
      </c>
      <c r="H10" s="10" t="inlineStr">
        <is>
          <t xml:space="preserve">Request capture, with Persistence</t>
        </is>
      </c>
      <c r="I10" s="10" t="inlineStr">
        <is>
          <t xml:space="preserve">Proposed, ADR-007 (#97, under review): Reference from a database sequence with a unique constraint. Gaps after a failed transaction are accepted</t>
        </is>
      </c>
      <c r="J10" s="10" t="inlineStr">
        <is>
          <t xml:space="preserve">ADR-007 (proposed): database-native atomic sequence (A2 Task 2)</t>
        </is>
      </c>
      <c r="K10" s="10" t="inlineStr">
        <is>
          <t xml:space="preserve">ADR-002 (DEC-008, #91): Node.js 24, Express 5, Prisma 7 on PostgreSQL</t>
        </is>
      </c>
      <c r="L10" s="10" t="inlineStr">
        <is>
          <t xml:space="preserve">Not yet implemented</t>
        </is>
      </c>
      <c r="M10" s="10" t="inlineStr">
        <is>
          <t xml:space="preserve">Planned (M3)</t>
        </is>
      </c>
      <c r="N10" s="10" t="inlineStr">
        <is>
          <t xml:space="preserve">DEC-004, ADR-007 (proposed)</t>
        </is>
      </c>
      <c r="O10" s="10" t="s">
        <v>182</v>
      </c>
    </row>
    <row r="11" customFormat="false" ht="35.7" hidden="false" customHeight="false" outlineLevel="0" collapsed="false">
      <c r="A11" s="9" t="s">
        <v>404</v>
      </c>
      <c r="B11" s="9" t="s">
        <v>40</v>
      </c>
      <c r="C11" s="9" t="s">
        <v>207</v>
      </c>
      <c r="D11" s="9" t="s">
        <v>405</v>
      </c>
      <c r="E11" s="9" t="s">
        <v>180</v>
      </c>
      <c r="F11" s="9" t="s">
        <v>384</v>
      </c>
      <c r="G11" s="9" t="inlineStr">
        <is>
          <t xml:space="preserve">None. Not cited by ASR-01 to ASR-06</t>
        </is>
      </c>
      <c r="H11" s="9" t="inlineStr">
        <is>
          <t xml:space="preserve">Request capture</t>
        </is>
      </c>
      <c r="I11" s="9" t="inlineStr">
        <is>
          <t xml:space="preserve">Proposed, ADR-007 (#97, under review): Request.reference and createdAt, committed in the creation transaction</t>
        </is>
      </c>
      <c r="J11" s="9" t="inlineStr">
        <is>
          <t xml:space="preserve">Not yet designed</t>
        </is>
      </c>
      <c r="K11" s="9" t="inlineStr">
        <is>
          <t xml:space="preserve">ADR-002 (DEC-008, #91): Node.js 24, Express 5, Prisma 7 on PostgreSQL</t>
        </is>
      </c>
      <c r="L11" s="9" t="inlineStr">
        <is>
          <t xml:space="preserve">Not yet implemented</t>
        </is>
      </c>
      <c r="M11" s="9" t="inlineStr">
        <is>
          <t xml:space="preserve">Planned (M3)</t>
        </is>
      </c>
      <c r="N11" s="9" t="inlineStr">
        <is>
          <t xml:space="preserve">ADR-007 (proposed)</t>
        </is>
      </c>
      <c r="O11" s="9" t="s">
        <v>182</v>
      </c>
    </row>
    <row r="12" customFormat="false" ht="35.7" hidden="false" customHeight="false" outlineLevel="0" collapsed="false">
      <c r="A12" s="10" t="s">
        <v>406</v>
      </c>
      <c r="B12" s="10" t="s">
        <v>40</v>
      </c>
      <c r="C12" s="10" t="s">
        <v>210</v>
      </c>
      <c r="D12" s="10" t="s">
        <v>407</v>
      </c>
      <c r="E12" s="10" t="s">
        <v>180</v>
      </c>
      <c r="F12" s="10" t="s">
        <v>384</v>
      </c>
      <c r="G12" s="10" t="inlineStr">
        <is>
          <t xml:space="preserve">None. Not cited by ASR-01 to ASR-06</t>
        </is>
      </c>
      <c r="H12" s="10" t="inlineStr">
        <is>
          <t xml:space="preserve">Request access and queue</t>
        </is>
      </c>
      <c r="I12" s="10" t="inlineStr">
        <is>
          <t xml:space="preserve">Proposed, ADR-007 (#97, under review): Request fields and updatedAt, indexed on requesterId</t>
        </is>
      </c>
      <c r="J12" s="10" t="inlineStr">
        <is>
          <t xml:space="preserve">ADR-006 (DEC-014): own-requests scope</t>
        </is>
      </c>
      <c r="K12" s="10" t="inlineStr">
        <is>
          <t xml:space="preserve">ADR-002 (DEC-008, #91): Node.js 24, Express 5, Prisma 7 on PostgreSQL</t>
        </is>
      </c>
      <c r="L12" s="10" t="inlineStr">
        <is>
          <t xml:space="preserve">Scope in src/modules/authorisation-policy/policy.js (#94, merged). List not yet implemented</t>
        </is>
      </c>
      <c r="M12" s="10" t="inlineStr">
        <is>
          <t xml:space="preserve">Scope tested in tests/authorisation-policy.test.js (#94). List planned (M3)</t>
        </is>
      </c>
      <c r="N12" s="10" t="inlineStr">
        <is>
          <t xml:space="preserve">ADR-006</t>
        </is>
      </c>
      <c r="O12" s="10" t="s">
        <v>182</v>
      </c>
    </row>
    <row r="13" customFormat="false" ht="47.6" hidden="false" customHeight="false" outlineLevel="0" collapsed="false">
      <c r="A13" s="9" t="s">
        <v>408</v>
      </c>
      <c r="B13" s="9" t="s">
        <v>215</v>
      </c>
      <c r="C13" s="9" t="s">
        <v>213</v>
      </c>
      <c r="D13" s="9" t="s">
        <v>409</v>
      </c>
      <c r="E13" s="9" t="s">
        <v>180</v>
      </c>
      <c r="F13" s="9" t="s">
        <v>384</v>
      </c>
      <c r="G13" s="9" t="inlineStr">
        <is>
          <t xml:space="preserve">ASR-01 server-side authorisation with record-level scope</t>
        </is>
      </c>
      <c r="H13" s="9" t="inlineStr">
        <is>
          <t xml:space="preserve">Request access and queue, with the Authorisation policy</t>
        </is>
      </c>
      <c r="I13" s="9" t="inlineStr">
        <is>
          <t xml:space="preserve">Proposed, ADR-007 (#97, under review): Status history, and visibility on entries. Action entries as their own entity were requested on review of #97</t>
        </is>
      </c>
      <c r="J13" s="9" t="inlineStr">
        <is>
          <t xml:space="preserve">ADR-006 (DEC-014): actionEntryScope limits a Requester to requester-visible entries</t>
        </is>
      </c>
      <c r="K13" s="9" t="inlineStr">
        <is>
          <t xml:space="preserve">ADR-002 (DEC-008, #91): Node.js 24, Express 5, Prisma 7 on PostgreSQL</t>
        </is>
      </c>
      <c r="L13" s="9" t="inlineStr">
        <is>
          <t xml:space="preserve">Scope in src/modules/authorisation-policy/policy.js (#94, merged). Detail view not yet implemented</t>
        </is>
      </c>
      <c r="M13" s="9" t="inlineStr">
        <is>
          <t xml:space="preserve">tests/authorisation-policy.test.js (#94). The payload negative test is planned (M3)</t>
        </is>
      </c>
      <c r="N13" s="9" t="inlineStr">
        <is>
          <t xml:space="preserve">RSK-05, FEC-01, DEC-003, ADR-006</t>
        </is>
      </c>
      <c r="O13" s="9" t="s">
        <v>182</v>
      </c>
    </row>
    <row r="14" customFormat="false" ht="47.6" hidden="false" customHeight="false" outlineLevel="0" collapsed="false">
      <c r="A14" s="10" t="s">
        <v>410</v>
      </c>
      <c r="B14" s="10" t="s">
        <v>219</v>
      </c>
      <c r="C14" s="10" t="s">
        <v>217</v>
      </c>
      <c r="D14" s="10" t="s">
        <v>218</v>
      </c>
      <c r="E14" s="10" t="s">
        <v>180</v>
      </c>
      <c r="F14" s="10" t="s">
        <v>384</v>
      </c>
      <c r="G14" s="10" t="inlineStr">
        <is>
          <t xml:space="preserve">ASR-01 server-side authorisation with record-level scope</t>
        </is>
      </c>
      <c r="H14" s="10" t="inlineStr">
        <is>
          <t xml:space="preserve">Request access and queue, with the Authorisation policy</t>
        </is>
      </c>
      <c r="I14" s="10" t="inlineStr">
        <is>
          <t xml:space="preserve">Proposed, ADR-007 (#97, under review): requesterId, the field the scope condition filters</t>
        </is>
      </c>
      <c r="J14" s="10" t="inlineStr">
        <is>
          <t xml:space="preserve">ADR-006 (DEC-014): ownRequests scope applied inside every request query</t>
        </is>
      </c>
      <c r="K14" s="10" t="inlineStr">
        <is>
          <t xml:space="preserve">ADR-002 (DEC-008, #91): Node.js 24, Express 5, Prisma 7 on PostgreSQL</t>
        </is>
      </c>
      <c r="L14" s="10" t="inlineStr">
        <is>
          <t xml:space="preserve">src/modules/authorisation-policy/policy.js (#94, merged)</t>
        </is>
      </c>
      <c r="M14" s="10" t="inlineStr">
        <is>
          <t xml:space="preserve">tests/authorisation-policy.test.js (#94): the query condition and the single-request check select the same requests. Endpoint negative test planned (M3)</t>
        </is>
      </c>
      <c r="N14" s="10" t="inlineStr">
        <is>
          <t xml:space="preserve">RSK-05, FEC-01, ADR-006</t>
        </is>
      </c>
      <c r="O14" s="10" t="s">
        <v>182</v>
      </c>
    </row>
    <row r="15" customFormat="false" ht="59.5" hidden="false" customHeight="false" outlineLevel="0" collapsed="false">
      <c r="A15" s="9" t="s">
        <v>411</v>
      </c>
      <c r="B15" s="9" t="s">
        <v>223</v>
      </c>
      <c r="C15" s="9" t="s">
        <v>221</v>
      </c>
      <c r="D15" s="9" t="s">
        <v>222</v>
      </c>
      <c r="E15" s="9" t="s">
        <v>180</v>
      </c>
      <c r="F15" s="9" t="s">
        <v>384</v>
      </c>
      <c r="G15" s="9" t="inlineStr">
        <is>
          <t xml:space="preserve">ASR-01 server-side authorisation with record-level scope; ASR-02 queue, reporting and submission responsiveness</t>
        </is>
      </c>
      <c r="H15" s="9" t="inlineStr">
        <is>
          <t xml:space="preserve">Request access and queue, with the Authorisation policy</t>
        </is>
      </c>
      <c r="I15" s="9" t="inlineStr">
        <is>
          <t xml:space="preserve">Proposed, ADR-007 (#97, under review): categoryId and UserCategory, indexed on category and status</t>
        </is>
      </c>
      <c r="J15" s="9" t="inlineStr">
        <is>
          <t xml:space="preserve">ADR-006 (DEC-014): category scope</t>
        </is>
      </c>
      <c r="K15" s="9" t="inlineStr">
        <is>
          <t xml:space="preserve">ADR-002 (DEC-008, #91): Node.js 24, Express 5, Prisma 7 on PostgreSQL</t>
        </is>
      </c>
      <c r="L15" s="9" t="inlineStr">
        <is>
          <t xml:space="preserve">src/modules/authorisation-policy/policy.js (#94, merged)</t>
        </is>
      </c>
      <c r="M15" s="9" t="inlineStr">
        <is>
          <t xml:space="preserve">tests/authorisation-policy.test.js (#94). Queue planned (M3)</t>
        </is>
      </c>
      <c r="N15" s="9" t="inlineStr">
        <is>
          <t xml:space="preserve">FEC-01, ADR-006</t>
        </is>
      </c>
      <c r="O15" s="9" t="s">
        <v>182</v>
      </c>
    </row>
    <row r="16" customFormat="false" ht="47.6" hidden="false" customHeight="false" outlineLevel="0" collapsed="false">
      <c r="A16" s="10" t="s">
        <v>413</v>
      </c>
      <c r="B16" s="10" t="s">
        <v>223</v>
      </c>
      <c r="C16" s="10" t="s">
        <v>225</v>
      </c>
      <c r="D16" s="10" t="s">
        <v>414</v>
      </c>
      <c r="E16" s="10" t="s">
        <v>180</v>
      </c>
      <c r="F16" s="10" t="s">
        <v>384</v>
      </c>
      <c r="G16" s="10" t="inlineStr">
        <is>
          <t xml:space="preserve">ASR-02 queue, reporting and submission responsiveness</t>
        </is>
      </c>
      <c r="H16" s="10" t="inlineStr">
        <is>
          <t xml:space="preserve">Request access and queue</t>
        </is>
      </c>
      <c r="I16" s="10" t="inlineStr">
        <is>
          <t xml:space="preserve">Proposed, ADR-007 (#97, under review): Indexes on status, category, assignee and createdAt. Keyword search not yet designed</t>
        </is>
      </c>
      <c r="J16" s="10" t="inlineStr">
        <is>
          <t xml:space="preserve">Not yet designed</t>
        </is>
      </c>
      <c r="K16" s="10" t="inlineStr">
        <is>
          <t xml:space="preserve">ADR-002 (DEC-008, #91): Node.js 24, Express 5, Prisma 7 on PostgreSQL</t>
        </is>
      </c>
      <c r="L16" s="10" t="inlineStr">
        <is>
          <t xml:space="preserve">Not yet implemented</t>
        </is>
      </c>
      <c r="M16" s="10" t="inlineStr">
        <is>
          <t xml:space="preserve">Planned (M3)</t>
        </is>
      </c>
      <c r="N16" s="10" t="inlineStr">
        <is>
          <t xml:space="preserve">FEC-06, ADR-007 (proposed)</t>
        </is>
      </c>
      <c r="O16" s="10" t="s">
        <v>182</v>
      </c>
    </row>
    <row r="17" customFormat="false" ht="47.6" hidden="false" customHeight="false" outlineLevel="0" collapsed="false">
      <c r="A17" s="9" t="s">
        <v>416</v>
      </c>
      <c r="B17" s="9" t="s">
        <v>53</v>
      </c>
      <c r="C17" s="9" t="s">
        <v>111</v>
      </c>
      <c r="D17" s="9" t="s">
        <v>417</v>
      </c>
      <c r="E17" s="9" t="s">
        <v>180</v>
      </c>
      <c r="F17" s="9" t="s">
        <v>384</v>
      </c>
      <c r="G17" s="9" t="inlineStr">
        <is>
          <t xml:space="preserve">None. Not cited by ASR-01 to ASR-06</t>
        </is>
      </c>
      <c r="H17" s="9" t="inlineStr">
        <is>
          <t xml:space="preserve">Workflow and status, with the Authorisation policy</t>
        </is>
      </c>
      <c r="I17" s="9" t="inlineStr">
        <is>
          <t xml:space="preserve">Proposed, ADR-007 (#97, under review): assigneeId on Request</t>
        </is>
      </c>
      <c r="J17" s="9" t="inlineStr">
        <is>
          <t xml:space="preserve">ADR-005 (DEC-013): New to Assigned and New to In Progress in the transition table. ADR-006 (DEC-014): category scope for accepting</t>
        </is>
      </c>
      <c r="K17" s="9" t="inlineStr">
        <is>
          <t xml:space="preserve">ADR-002 (DEC-008, #91): Node.js 24, Express 5, Prisma 7 on PostgreSQL</t>
        </is>
      </c>
      <c r="L17" s="9" t="inlineStr">
        <is>
          <t xml:space="preserve">src/modules/workflow-status/transition-table.js and transitions.js (#93, merged); src/modules/authorisation-policy/policy.js (#94, merged)</t>
        </is>
      </c>
      <c r="M17" s="9" t="inlineStr">
        <is>
          <t xml:space="preserve">tests/workflow-status.test.js (#93) and tests/authorisation-policy.test.js (#94). Endpoint tests planned (M3)</t>
        </is>
      </c>
      <c r="N17" s="9" t="inlineStr">
        <is>
          <t xml:space="preserve">ADR-005, ADR-006, CR-002 (#92)</t>
        </is>
      </c>
      <c r="O17" s="9" t="s">
        <v>182</v>
      </c>
    </row>
    <row r="18" customFormat="false" ht="71.4" hidden="false" customHeight="false" outlineLevel="0" collapsed="false">
      <c r="A18" s="10" t="s">
        <v>418</v>
      </c>
      <c r="B18" s="10" t="s">
        <v>232</v>
      </c>
      <c r="C18" s="10" t="s">
        <v>230</v>
      </c>
      <c r="D18" s="10" t="s">
        <v>419</v>
      </c>
      <c r="E18" s="10" t="s">
        <v>180</v>
      </c>
      <c r="F18" s="10" t="s">
        <v>384</v>
      </c>
      <c r="G18" s="10" t="inlineStr">
        <is>
          <t xml:space="preserve">ASR-03 auditability of every status change, with ASR-01 for the role check</t>
        </is>
      </c>
      <c r="H18" s="10" t="inlineStr">
        <is>
          <t xml:space="preserve">Workflow and status (src/modules/workflow-status), with its roles evaluated by the Authorisation policy (ADR-001 rules 2 and 3)</t>
        </is>
      </c>
      <c r="I18" s="10" t="inlineStr">
        <is>
          <t xml:space="preserve">Proposed, ADR-007 (#97, under review): Request.status and a RequestStatusHistory row, written in one transaction (ADR-001 rule 3)</t>
        </is>
      </c>
      <c r="J18" s="10" t="inlineStr">
        <is>
          <t xml:space="preserve">ADR-005 (DEC-013): declarative transition table with Strategy guards. ADR-006 (DEC-014) authorises each move</t>
        </is>
      </c>
      <c r="K18" s="10" t="inlineStr">
        <is>
          <t xml:space="preserve">ADR-002 (DEC-008, #91): Node.js 24, tested with node:test</t>
        </is>
      </c>
      <c r="L18" s="10" t="inlineStr">
        <is>
          <t xml:space="preserve">src/modules/workflow-status/transition-table.js and transitions.js (#93, merged 29 September 2026)</t>
        </is>
      </c>
      <c r="M18" s="10" t="inlineStr">
        <is>
          <t xml:space="preserve">tests/workflow-status.test.js: all 196 combinations of status pair and role against a fixture exported from the Status Model register; three deliberate faults each failed the suite (#93). Refusal at the endpoint planned (M3)</t>
        </is>
      </c>
      <c r="N18" s="10" t="inlineStr">
        <is>
          <t xml:space="preserve">RSK-09, FEC-02, ADR-001, ADR-005, ADR-006, CR-002 (#92)</t>
        </is>
      </c>
      <c r="O18" s="10" t="s">
        <v>182</v>
      </c>
    </row>
    <row r="19" customFormat="false" ht="47.6" hidden="false" customHeight="false" outlineLevel="0" collapsed="false">
      <c r="A19" s="9" t="s">
        <v>421</v>
      </c>
      <c r="B19" s="9" t="s">
        <v>47</v>
      </c>
      <c r="C19" s="9" t="s">
        <v>117</v>
      </c>
      <c r="D19" s="9" t="s">
        <v>422</v>
      </c>
      <c r="E19" s="9" t="s">
        <v>180</v>
      </c>
      <c r="F19" s="9" t="s">
        <v>384</v>
      </c>
      <c r="G19" s="9" t="inlineStr">
        <is>
          <t xml:space="preserve">None. Not cited by ASR-01 to ASR-06</t>
        </is>
      </c>
      <c r="H19" s="9" t="inlineStr">
        <is>
          <t xml:space="preserve">Workflow and status, with the Authorisation policy</t>
        </is>
      </c>
      <c r="I19" s="9" t="inlineStr">
        <is>
          <t xml:space="preserve">Proposed, ADR-007 (#97, under review): Visibility on entries, required with no default. Action entries as their own entity were requested on review of #97</t>
        </is>
      </c>
      <c r="J19" s="9" t="inlineStr">
        <is>
          <t xml:space="preserve">ADR-006 (DEC-014): actionEntryScope. DEC-003: visibility chosen per entry with no default</t>
        </is>
      </c>
      <c r="K19" s="9" t="inlineStr">
        <is>
          <t xml:space="preserve">ADR-002 (DEC-008, #91): Node.js 24, Express 5, Prisma 7 on PostgreSQL</t>
        </is>
      </c>
      <c r="L19" s="9" t="inlineStr">
        <is>
          <t xml:space="preserve">Scope in src/modules/authorisation-policy/policy.js (#94, merged). Recording not yet implemented</t>
        </is>
      </c>
      <c r="M19" s="9" t="inlineStr">
        <is>
          <t xml:space="preserve">Scope tested in tests/authorisation-policy.test.js (#94). Recording planned (M3)</t>
        </is>
      </c>
      <c r="N19" s="9" t="inlineStr">
        <is>
          <t xml:space="preserve">RSK-05, DEC-003, ADR-006</t>
        </is>
      </c>
      <c r="O19" s="9" t="s">
        <v>182</v>
      </c>
    </row>
    <row r="20" customFormat="false" ht="35.7" hidden="false" customHeight="false" outlineLevel="0" collapsed="false">
      <c r="A20" s="10" t="s">
        <v>423</v>
      </c>
      <c r="B20" s="10" t="s">
        <v>232</v>
      </c>
      <c r="C20" s="10" t="s">
        <v>236</v>
      </c>
      <c r="D20" s="10" t="s">
        <v>237</v>
      </c>
      <c r="E20" s="10" t="s">
        <v>180</v>
      </c>
      <c r="F20" s="10" t="s">
        <v>384</v>
      </c>
      <c r="G20" s="10" t="inlineStr">
        <is>
          <t xml:space="preserve">ASR-03 auditability of every status, assignee and priority change</t>
        </is>
      </c>
      <c r="H20" s="10" t="inlineStr">
        <is>
          <t xml:space="preserve">Workflow and status</t>
        </is>
      </c>
      <c r="I20" s="10" t="inlineStr">
        <is>
          <t xml:space="preserve">Proposed, ADR-007 (#97, under review): Where the resolution summary is stored was requested on review of #97</t>
        </is>
      </c>
      <c r="J20" s="10" t="inlineStr">
        <is>
          <t xml:space="preserve">ADR-005 (DEC-013): resolution-summary guard on In Progress to Resolved</t>
        </is>
      </c>
      <c r="K20" s="10" t="inlineStr">
        <is>
          <t xml:space="preserve">ADR-002 (DEC-008, #91): Node.js 24, Express 5, Prisma 7 on PostgreSQL</t>
        </is>
      </c>
      <c r="L20" s="10" t="inlineStr">
        <is>
          <t xml:space="preserve">src/modules/workflow-status/transition-table.js and transitions.js (#93, merged)</t>
        </is>
      </c>
      <c r="M20" s="10" t="inlineStr">
        <is>
          <t xml:space="preserve">tests/workflow-status.test.js (#93)</t>
        </is>
      </c>
      <c r="N20" s="10" t="inlineStr">
        <is>
          <t xml:space="preserve">ADR-005</t>
        </is>
      </c>
      <c r="O20" s="10" t="s">
        <v>182</v>
      </c>
    </row>
    <row r="21" customFormat="false" ht="35.7" hidden="false" customHeight="false" outlineLevel="0" collapsed="false">
      <c r="A21" s="9" t="s">
        <v>424</v>
      </c>
      <c r="B21" s="9" t="s">
        <v>53</v>
      </c>
      <c r="C21" s="9" t="s">
        <v>239</v>
      </c>
      <c r="D21" s="9" t="s">
        <v>240</v>
      </c>
      <c r="E21" s="9" t="s">
        <v>192</v>
      </c>
      <c r="F21" s="9" t="s">
        <v>384</v>
      </c>
      <c r="G21" s="9" t="inlineStr">
        <is>
          <t xml:space="preserve">ASR-03 auditability of every status, assignee and priority change</t>
        </is>
      </c>
      <c r="H21" s="9" t="inlineStr">
        <is>
          <t xml:space="preserve">Workflow and status</t>
        </is>
      </c>
      <c r="I21" s="9" t="inlineStr">
        <is>
          <t xml:space="preserve">Proposed, ADR-007 (#97, under review): Status history</t>
        </is>
      </c>
      <c r="J21" s="9" t="inlineStr">
        <is>
          <t xml:space="preserve">ADR-005 (DEC-013): Resolved to Closed limited to the Coordinator and Manager</t>
        </is>
      </c>
      <c r="K21" s="9" t="inlineStr">
        <is>
          <t xml:space="preserve">ADR-002 (DEC-008, #91): Node.js 24, Express 5, Prisma 7 on PostgreSQL</t>
        </is>
      </c>
      <c r="L21" s="9" t="inlineStr">
        <is>
          <t xml:space="preserve">src/modules/workflow-status/transition-table.js and transitions.js (#93, merged)</t>
        </is>
      </c>
      <c r="M21" s="9" t="inlineStr">
        <is>
          <t xml:space="preserve">tests/workflow-status.test.js (#93)</t>
        </is>
      </c>
      <c r="N21" s="9" t="inlineStr">
        <is>
          <t xml:space="preserve">ADR-005</t>
        </is>
      </c>
      <c r="O21" s="9" t="s">
        <v>182</v>
      </c>
    </row>
    <row r="22" customFormat="false" ht="35.7" hidden="false" customHeight="false" outlineLevel="0" collapsed="false">
      <c r="A22" s="10" t="s">
        <v>425</v>
      </c>
      <c r="B22" s="10" t="s">
        <v>244</v>
      </c>
      <c r="C22" s="10" t="s">
        <v>242</v>
      </c>
      <c r="D22" s="10" t="s">
        <v>243</v>
      </c>
      <c r="E22" s="10" t="s">
        <v>192</v>
      </c>
      <c r="F22" s="10" t="s">
        <v>384</v>
      </c>
      <c r="G22" s="10" t="inlineStr">
        <is>
          <t xml:space="preserve">ASR-03 auditability of every status, assignee and priority change</t>
        </is>
      </c>
      <c r="H22" s="10" t="inlineStr">
        <is>
          <t xml:space="preserve">Workflow and status</t>
        </is>
      </c>
      <c r="I22" s="10" t="inlineStr">
        <is>
          <t xml:space="preserve">Proposed, ADR-007 (#97, under review): Rejection reason stored on the status-history row</t>
        </is>
      </c>
      <c r="J22" s="10" t="inlineStr">
        <is>
          <t xml:space="preserve">ADR-005 (DEC-013): rejection-reason guard. ADR-006 (DEC-014) authorises the Coordinator</t>
        </is>
      </c>
      <c r="K22" s="10" t="inlineStr">
        <is>
          <t xml:space="preserve">ADR-002 (DEC-008, #91): Node.js 24, Express 5, Prisma 7 on PostgreSQL</t>
        </is>
      </c>
      <c r="L22" s="10" t="inlineStr">
        <is>
          <t xml:space="preserve">src/modules/workflow-status/transition-table.js and transitions.js (#93, merged)</t>
        </is>
      </c>
      <c r="M22" s="10" t="inlineStr">
        <is>
          <t xml:space="preserve">tests/workflow-status.test.js (#93)</t>
        </is>
      </c>
      <c r="N22" s="10" t="inlineStr">
        <is>
          <t xml:space="preserve">ADR-005, ADR-006, CR-002 (#92)</t>
        </is>
      </c>
      <c r="O22" s="10" t="s">
        <v>182</v>
      </c>
    </row>
    <row r="23" customFormat="false" ht="47.6" hidden="false" customHeight="false" outlineLevel="0" collapsed="false">
      <c r="A23" s="9" t="s">
        <v>426</v>
      </c>
      <c r="B23" s="9" t="s">
        <v>205</v>
      </c>
      <c r="C23" s="9" t="s">
        <v>120</v>
      </c>
      <c r="D23" s="9" t="s">
        <v>427</v>
      </c>
      <c r="E23" s="9" t="s">
        <v>180</v>
      </c>
      <c r="F23" s="9" t="s">
        <v>384</v>
      </c>
      <c r="G23" s="9" t="inlineStr">
        <is>
          <t xml:space="preserve">ASR-03 auditability of every status, assignee and priority change</t>
        </is>
      </c>
      <c r="H23" s="9" t="inlineStr">
        <is>
          <t xml:space="preserve">Workflow and status, with the Authorisation policy</t>
        </is>
      </c>
      <c r="I23" s="9" t="inlineStr">
        <is>
          <t xml:space="preserve">Proposed, ADR-007 (#97, under review): Priority nullable until set. Reported urgency as a separate field was requested on review of #97</t>
        </is>
      </c>
      <c r="J23" s="9" t="inlineStr">
        <is>
          <t xml:space="preserve">ADR-006 (DEC-014): setPriority permitted to the Coordinator only</t>
        </is>
      </c>
      <c r="K23" s="9" t="inlineStr">
        <is>
          <t xml:space="preserve">ADR-002 (DEC-008, #91): Node.js 24, Express 5, Prisma 7 on PostgreSQL</t>
        </is>
      </c>
      <c r="L23" s="9" t="inlineStr">
        <is>
          <t xml:space="preserve">src/modules/authorisation-policy/policy.js (#94, merged). Priority change not yet implemented</t>
        </is>
      </c>
      <c r="M23" s="9" t="inlineStr">
        <is>
          <t xml:space="preserve">tests/authorisation-policy.test.js (#94). Priority change planned (M3)</t>
        </is>
      </c>
      <c r="N23" s="9" t="inlineStr">
        <is>
          <t xml:space="preserve">DEC-002, ADR-006, CR-002 (#92)</t>
        </is>
      </c>
      <c r="O23" s="9" t="s">
        <v>182</v>
      </c>
    </row>
    <row r="24" customFormat="false" ht="35.7" hidden="false" customHeight="false" outlineLevel="0" collapsed="false">
      <c r="A24" s="10" t="s">
        <v>428</v>
      </c>
      <c r="B24" s="10" t="s">
        <v>58</v>
      </c>
      <c r="C24" s="10" t="s">
        <v>248</v>
      </c>
      <c r="D24" s="10" t="s">
        <v>249</v>
      </c>
      <c r="E24" s="10" t="s">
        <v>180</v>
      </c>
      <c r="F24" s="10" t="s">
        <v>384</v>
      </c>
      <c r="G24" s="10" t="inlineStr">
        <is>
          <t xml:space="preserve">ASR-02 queue, reporting and submission responsiveness</t>
        </is>
      </c>
      <c r="H24" s="10" t="inlineStr">
        <is>
          <t xml:space="preserve">Reporting</t>
        </is>
      </c>
      <c r="I24" s="10" t="inlineStr">
        <is>
          <t xml:space="preserve">Reads the transactional store for now (ADR-001, FEC-06). Overdue is derived from age</t>
        </is>
      </c>
      <c r="J24" s="10" t="inlineStr">
        <is>
          <t xml:space="preserve">Not yet designed</t>
        </is>
      </c>
      <c r="K24" s="10" t="inlineStr">
        <is>
          <t xml:space="preserve">ADR-002 (DEC-008, #91): Node.js 24, Express 5, Prisma 7 on PostgreSQL</t>
        </is>
      </c>
      <c r="L24" s="10" t="inlineStr">
        <is>
          <t xml:space="preserve">Not yet implemented</t>
        </is>
      </c>
      <c r="M24" s="10" t="inlineStr">
        <is>
          <t xml:space="preserve">Planned (M3)</t>
        </is>
      </c>
      <c r="N24" s="10" t="inlineStr">
        <is>
          <t xml:space="preserve">RSK-09, FEC-02, FEC-06, ADR-001</t>
        </is>
      </c>
      <c r="O24" s="10" t="s">
        <v>182</v>
      </c>
    </row>
    <row r="25" customFormat="false" ht="35.7" hidden="false" customHeight="false" outlineLevel="0" collapsed="false">
      <c r="A25" s="9" t="s">
        <v>430</v>
      </c>
      <c r="B25" s="9" t="s">
        <v>58</v>
      </c>
      <c r="C25" s="9" t="s">
        <v>251</v>
      </c>
      <c r="D25" s="9" t="s">
        <v>252</v>
      </c>
      <c r="E25" s="9" t="s">
        <v>192</v>
      </c>
      <c r="F25" s="9" t="s">
        <v>384</v>
      </c>
      <c r="G25" s="9" t="inlineStr">
        <is>
          <t xml:space="preserve">ASR-02 queue, reporting and submission responsiveness</t>
        </is>
      </c>
      <c r="H25" s="9" t="inlineStr">
        <is>
          <t xml:space="preserve">Reporting</t>
        </is>
      </c>
      <c r="I25" s="9" t="inlineStr">
        <is>
          <t xml:space="preserve">Reads the transactional store for now (ADR-001, FEC-06)</t>
        </is>
      </c>
      <c r="J25" s="9" t="inlineStr">
        <is>
          <t xml:space="preserve">Not yet designed</t>
        </is>
      </c>
      <c r="K25" s="9" t="inlineStr">
        <is>
          <t xml:space="preserve">ADR-002 (DEC-008, #91): Node.js 24, Express 5, Prisma 7 on PostgreSQL</t>
        </is>
      </c>
      <c r="L25" s="9" t="inlineStr">
        <is>
          <t xml:space="preserve">Not yet implemented</t>
        </is>
      </c>
      <c r="M25" s="9" t="inlineStr">
        <is>
          <t xml:space="preserve">Planned (M3)</t>
        </is>
      </c>
      <c r="N25" s="9" t="inlineStr">
        <is>
          <t xml:space="preserve">FEC-06, ADR-001</t>
        </is>
      </c>
      <c r="O25" s="9" t="s">
        <v>182</v>
      </c>
    </row>
    <row r="26" customFormat="false" ht="35.7" hidden="false" customHeight="false" outlineLevel="0" collapsed="false">
      <c r="A26" s="10" t="s">
        <v>431</v>
      </c>
      <c r="B26" s="10" t="s">
        <v>232</v>
      </c>
      <c r="C26" s="10" t="s">
        <v>254</v>
      </c>
      <c r="D26" s="10" t="s">
        <v>255</v>
      </c>
      <c r="E26" s="10" t="s">
        <v>192</v>
      </c>
      <c r="F26" s="10" t="s">
        <v>384</v>
      </c>
      <c r="G26" s="10" t="inlineStr">
        <is>
          <t xml:space="preserve">ASR-02 queue, reporting and submission responsiveness</t>
        </is>
      </c>
      <c r="H26" s="10" t="inlineStr">
        <is>
          <t xml:space="preserve">Reporting</t>
        </is>
      </c>
      <c r="I26" s="10" t="inlineStr">
        <is>
          <t xml:space="preserve">Overdue derived from age against the response target. Assignee held on Request</t>
        </is>
      </c>
      <c r="J26" s="10" t="inlineStr">
        <is>
          <t xml:space="preserve">Not yet designed</t>
        </is>
      </c>
      <c r="K26" s="10" t="inlineStr">
        <is>
          <t xml:space="preserve">ADR-002 (DEC-008, #91): Node.js 24, Express 5, Prisma 7 on PostgreSQL</t>
        </is>
      </c>
      <c r="L26" s="10" t="inlineStr">
        <is>
          <t xml:space="preserve">Not yet implemented</t>
        </is>
      </c>
      <c r="M26" s="10" t="inlineStr">
        <is>
          <t xml:space="preserve">Planned (M3)</t>
        </is>
      </c>
      <c r="N26" s="10" t="inlineStr">
        <is>
          <t xml:space="preserve">FEC-02, ADR-001</t>
        </is>
      </c>
      <c r="O26" s="10" t="s">
        <v>182</v>
      </c>
    </row>
    <row r="27" customFormat="false" ht="35.7" hidden="false" customHeight="false" outlineLevel="0" collapsed="false">
      <c r="A27" s="9" t="s">
        <v>432</v>
      </c>
      <c r="B27" s="9" t="s">
        <v>259</v>
      </c>
      <c r="C27" s="9" t="s">
        <v>257</v>
      </c>
      <c r="D27" s="9" t="s">
        <v>433</v>
      </c>
      <c r="E27" s="9" t="s">
        <v>180</v>
      </c>
      <c r="F27" s="9" t="s">
        <v>384</v>
      </c>
      <c r="G27" s="9" t="inlineStr">
        <is>
          <t xml:space="preserve">ASR-03 auditability of every status, assignee and priority change</t>
        </is>
      </c>
      <c r="H27" s="9" t="inlineStr">
        <is>
          <t xml:space="preserve">Audit, written with each change in one transaction (ADR-001 rule 3)</t>
        </is>
      </c>
      <c r="I27" s="9" t="inlineStr">
        <is>
          <t xml:space="preserve">Proposed, ADR-007 (#97, under review): AuditEntry. Previous and new values were requested on review of #97</t>
        </is>
      </c>
      <c r="J27" s="9" t="inlineStr">
        <is>
          <t xml:space="preserve">ADR-001 rule 3: a change and its audit entry commit in one transaction</t>
        </is>
      </c>
      <c r="K27" s="9" t="inlineStr">
        <is>
          <t xml:space="preserve">ADR-002 (DEC-008, #91): Node.js 24, Express 5, Prisma 7 on PostgreSQL</t>
        </is>
      </c>
      <c r="L27" s="9" t="inlineStr">
        <is>
          <t xml:space="preserve">Not yet implemented</t>
        </is>
      </c>
      <c r="M27" s="9" t="inlineStr">
        <is>
          <t xml:space="preserve">Planned (M3)</t>
        </is>
      </c>
      <c r="N27" s="9" t="inlineStr">
        <is>
          <t xml:space="preserve">ADR-001, ADR-007 (proposed)</t>
        </is>
      </c>
      <c r="O27" s="9" t="s">
        <v>182</v>
      </c>
    </row>
    <row r="28" customFormat="false" ht="35.7" hidden="false" customHeight="false" outlineLevel="0" collapsed="false">
      <c r="A28" s="10" t="s">
        <v>434</v>
      </c>
      <c r="B28" s="10" t="s">
        <v>259</v>
      </c>
      <c r="C28" s="10" t="s">
        <v>261</v>
      </c>
      <c r="D28" s="10" t="s">
        <v>262</v>
      </c>
      <c r="E28" s="10" t="s">
        <v>180</v>
      </c>
      <c r="F28" s="10" t="s">
        <v>384</v>
      </c>
      <c r="G28" s="10" t="inlineStr">
        <is>
          <t xml:space="preserve">ASR-03 auditability of every status, assignee and priority change</t>
        </is>
      </c>
      <c r="H28" s="10" t="inlineStr">
        <is>
          <t xml:space="preserve">Audit</t>
        </is>
      </c>
      <c r="I28" s="10" t="inlineStr">
        <is>
          <t xml:space="preserve">Proposed, ADR-007 (#97, under review): Append-only. No update or delete through the application</t>
        </is>
      </c>
      <c r="J28" s="10" t="inlineStr">
        <is>
          <t xml:space="preserve">ADR-006 (DEC-014): no role may edit or delete an audit entry</t>
        </is>
      </c>
      <c r="K28" s="10" t="inlineStr">
        <is>
          <t xml:space="preserve">ADR-002 (DEC-008, #91): Node.js 24, Express 5, Prisma 7 on PostgreSQL</t>
        </is>
      </c>
      <c r="L28" s="10" t="inlineStr">
        <is>
          <t xml:space="preserve">src/modules/authorisation-policy/policy.js (#94, merged)</t>
        </is>
      </c>
      <c r="M28" s="10" t="inlineStr">
        <is>
          <t xml:space="preserve">tests/authorisation-policy.test.js (#94): the Access Matrix row denies every role. Endpoint test planned (M3)</t>
        </is>
      </c>
      <c r="N28" s="10" t="inlineStr">
        <is>
          <t xml:space="preserve">ADR-006</t>
        </is>
      </c>
      <c r="O28" s="10" t="s">
        <v>182</v>
      </c>
    </row>
    <row r="29" customFormat="false" ht="35.7" hidden="false" customHeight="false" outlineLevel="0" collapsed="false">
      <c r="A29" s="9" t="s">
        <v>435</v>
      </c>
      <c r="B29" s="9" t="s">
        <v>63</v>
      </c>
      <c r="C29" s="9" t="s">
        <v>264</v>
      </c>
      <c r="D29" s="9" t="s">
        <v>436</v>
      </c>
      <c r="E29" s="9" t="s">
        <v>192</v>
      </c>
      <c r="F29" s="9" t="s">
        <v>384</v>
      </c>
      <c r="G29" s="9" t="inlineStr">
        <is>
          <t xml:space="preserve">None. Not cited by ASR-01 to ASR-06</t>
        </is>
      </c>
      <c r="H29" s="9" t="inlineStr">
        <is>
          <t xml:space="preserve">Administration</t>
        </is>
      </c>
      <c r="I29" s="9" t="inlineStr">
        <is>
          <t xml:space="preserve">Proposed, ADR-007 (#97, under review): Category active flag. Categories are deactivated, not deleted</t>
        </is>
      </c>
      <c r="J29" s="9" t="inlineStr">
        <is>
          <t xml:space="preserve">Not yet designed</t>
        </is>
      </c>
      <c r="K29" s="9" t="inlineStr">
        <is>
          <t xml:space="preserve">ADR-002 (DEC-008, #91): Node.js 24, Express 5, Prisma 7 on PostgreSQL</t>
        </is>
      </c>
      <c r="L29" s="9" t="inlineStr">
        <is>
          <t xml:space="preserve">Not yet implemented</t>
        </is>
      </c>
      <c r="M29" s="9" t="inlineStr">
        <is>
          <t xml:space="preserve">Planned (M3)</t>
        </is>
      </c>
      <c r="N29" s="9" t="inlineStr">
        <is>
          <t xml:space="preserve">ADR-007 (proposed)</t>
        </is>
      </c>
      <c r="O29" s="9" t="s">
        <v>182</v>
      </c>
    </row>
    <row r="30" customFormat="false" ht="35.7" hidden="false" customHeight="false" outlineLevel="0" collapsed="false">
      <c r="A30" s="10" t="s">
        <v>437</v>
      </c>
      <c r="B30" s="10" t="s">
        <v>63</v>
      </c>
      <c r="C30" s="10" t="s">
        <v>267</v>
      </c>
      <c r="D30" s="10" t="s">
        <v>438</v>
      </c>
      <c r="E30" s="10" t="s">
        <v>269</v>
      </c>
      <c r="F30" s="10" t="s">
        <v>384</v>
      </c>
      <c r="G30" s="10" t="inlineStr">
        <is>
          <t xml:space="preserve">None. Not cited by ASR-01 to ASR-06</t>
        </is>
      </c>
      <c r="H30" s="10" t="inlineStr">
        <is>
          <t xml:space="preserve">Administration</t>
        </is>
      </c>
      <c r="I30" s="10" t="inlineStr">
        <is>
          <t xml:space="preserve">Proposed, ADR-007 (#97, under review): User active flag</t>
        </is>
      </c>
      <c r="J30" s="10" t="inlineStr">
        <is>
          <t xml:space="preserve">Not yet designed</t>
        </is>
      </c>
      <c r="K30" s="10" t="inlineStr">
        <is>
          <t xml:space="preserve">ADR-002 (DEC-008, #91): Node.js 24, Express 5, Prisma 7 on PostgreSQL</t>
        </is>
      </c>
      <c r="L30" s="10" t="inlineStr">
        <is>
          <t xml:space="preserve">Not yet implemented</t>
        </is>
      </c>
      <c r="M30" s="10" t="inlineStr">
        <is>
          <t xml:space="preserve">Planned (M3)</t>
        </is>
      </c>
      <c r="N30" s="10" t="inlineStr">
        <is>
          <t xml:space="preserve">ADR-007 (proposed)</t>
        </is>
      </c>
      <c r="O30" s="10" t="s">
        <v>182</v>
      </c>
    </row>
    <row r="31" customFormat="false" ht="35.7" hidden="false" customHeight="false" outlineLevel="0" collapsed="false">
      <c r="A31" s="9" t="s">
        <v>439</v>
      </c>
      <c r="B31" s="9" t="s">
        <v>40</v>
      </c>
      <c r="C31" s="9" t="s">
        <v>271</v>
      </c>
      <c r="D31" s="9" t="s">
        <v>440</v>
      </c>
      <c r="E31" s="9" t="s">
        <v>180</v>
      </c>
      <c r="F31" s="9" t="s">
        <v>384</v>
      </c>
      <c r="G31" s="9" t="inlineStr">
        <is>
          <t xml:space="preserve">None. Not cited by ASR-01 to ASR-06</t>
        </is>
      </c>
      <c r="H31" s="9" t="inlineStr">
        <is>
          <t xml:space="preserve">Notification, through an in-process interface (ADR-001 rule 4)</t>
        </is>
      </c>
      <c r="I31" s="9" t="inlineStr">
        <is>
          <t xml:space="preserve">Not yet designed. Where the indication is stored was requested on review of #98</t>
        </is>
      </c>
      <c r="J31" s="9" t="inlineStr">
        <is>
          <t xml:space="preserve">Proposed, ADR-008 (DEC-015, #98, under review): in-process notification interface</t>
        </is>
      </c>
      <c r="K31" s="9" t="inlineStr">
        <is>
          <t xml:space="preserve">ADR-002 (DEC-008, #91): Node.js 24, Express 5, Prisma 7 on PostgreSQL</t>
        </is>
      </c>
      <c r="L31" s="9" t="inlineStr">
        <is>
          <t xml:space="preserve">Not yet implemented</t>
        </is>
      </c>
      <c r="M31" s="9" t="inlineStr">
        <is>
          <t xml:space="preserve">Planned (M3)</t>
        </is>
      </c>
      <c r="N31" s="9" t="inlineStr">
        <is>
          <t xml:space="preserve">DEC-005, SC-D-01, FEC-03, ADR-008 (proposed)</t>
        </is>
      </c>
      <c r="O31" s="9" t="s">
        <v>182</v>
      </c>
    </row>
    <row r="32" customFormat="false" ht="47.6" hidden="false" customHeight="false" outlineLevel="0" collapsed="false">
      <c r="A32" s="10" t="s">
        <v>441</v>
      </c>
      <c r="B32" s="10" t="s">
        <v>47</v>
      </c>
      <c r="C32" s="10" t="s">
        <v>278</v>
      </c>
      <c r="D32" s="10" t="s">
        <v>280</v>
      </c>
      <c r="E32" s="10" t="s">
        <v>180</v>
      </c>
      <c r="F32" s="10" t="s">
        <v>281</v>
      </c>
      <c r="G32" s="10" t="inlineStr">
        <is>
          <t xml:space="preserve">ASR-02 queue, reporting and submission responsiveness</t>
        </is>
      </c>
      <c r="H32" s="10" t="inlineStr">
        <is>
          <t xml:space="preserve">Request access and queue, with Persistence</t>
        </is>
      </c>
      <c r="I32" s="10" t="inlineStr">
        <is>
          <t xml:space="preserve">Proposed, ADR-007 (#97, under review): Indexes on the queue and scope fields. Reporting shares the store</t>
        </is>
      </c>
      <c r="J32" s="10" t="inlineStr">
        <is>
          <t xml:space="preserve">ADR-006 (DEC-014): scope applied in the query, not after loading</t>
        </is>
      </c>
      <c r="K32" s="10" t="inlineStr">
        <is>
          <t xml:space="preserve">ADR-002 (DEC-008, #91): Node.js 24, Express 5, Prisma 7 on PostgreSQL</t>
        </is>
      </c>
      <c r="L32" s="10" t="inlineStr">
        <is>
          <t xml:space="preserve">Not yet implemented</t>
        </is>
      </c>
      <c r="M32" s="10" t="inlineStr">
        <is>
          <t xml:space="preserve">Planned (M3): 20 timed retrievals against a seeded 5 000-request dataset</t>
        </is>
      </c>
      <c r="N32" s="10" t="inlineStr">
        <is>
          <t xml:space="preserve">FEC-04, FEC-06, ADR-001, ADR-006</t>
        </is>
      </c>
      <c r="O32" s="10" t="s">
        <v>182</v>
      </c>
    </row>
    <row r="33" customFormat="false" ht="35.7" hidden="false" customHeight="false" outlineLevel="0" collapsed="false">
      <c r="A33" s="9" t="s">
        <v>443</v>
      </c>
      <c r="B33" s="9" t="s">
        <v>40</v>
      </c>
      <c r="C33" s="9" t="s">
        <v>283</v>
      </c>
      <c r="D33" s="9" t="s">
        <v>284</v>
      </c>
      <c r="E33" s="9" t="s">
        <v>180</v>
      </c>
      <c r="F33" s="9" t="s">
        <v>285</v>
      </c>
      <c r="G33" s="9" t="inlineStr">
        <is>
          <t xml:space="preserve">ASR-02 queue, reporting and submission responsiveness</t>
        </is>
      </c>
      <c r="H33" s="9" t="inlineStr">
        <is>
          <t xml:space="preserve">Request capture</t>
        </is>
      </c>
      <c r="I33" s="9" t="inlineStr">
        <is>
          <t xml:space="preserve">Proposed, ADR-007 (#97, under review): Creation committed in one transaction</t>
        </is>
      </c>
      <c r="J33" s="9" t="inlineStr">
        <is>
          <t xml:space="preserve">ADR-007 (proposed): one creation transaction</t>
        </is>
      </c>
      <c r="K33" s="9" t="inlineStr">
        <is>
          <t xml:space="preserve">ADR-002 (DEC-008, #91): Node.js 24, Express 5, Prisma 7 on PostgreSQL</t>
        </is>
      </c>
      <c r="L33" s="9" t="inlineStr">
        <is>
          <t xml:space="preserve">Not yet implemented</t>
        </is>
      </c>
      <c r="M33" s="9" t="inlineStr">
        <is>
          <t xml:space="preserve">Planned (M3)</t>
        </is>
      </c>
      <c r="N33" s="9" t="inlineStr">
        <is>
          <t xml:space="preserve">ADR-007 (proposed)</t>
        </is>
      </c>
      <c r="O33" s="9" t="s">
        <v>182</v>
      </c>
    </row>
    <row r="34" customFormat="false" ht="47.6" hidden="false" customHeight="false" outlineLevel="0" collapsed="false">
      <c r="A34" s="10" t="s">
        <v>444</v>
      </c>
      <c r="B34" s="10" t="s">
        <v>68</v>
      </c>
      <c r="C34" s="10" t="s">
        <v>287</v>
      </c>
      <c r="D34" s="10" t="s">
        <v>289</v>
      </c>
      <c r="E34" s="10" t="s">
        <v>192</v>
      </c>
      <c r="F34" s="10" t="s">
        <v>290</v>
      </c>
      <c r="G34" s="10" t="inlineStr">
        <is>
          <t xml:space="preserve">ASR-05 free tier at the committed availability</t>
        </is>
      </c>
      <c r="H34" s="10" t="inlineStr">
        <is>
          <t xml:space="preserve">The whole application, one deployable unit (ADR-001)</t>
        </is>
      </c>
      <c r="I34" s="10" t="inlineStr">
        <is>
          <t xml:space="preserve">Persistent storage, backup and a demonstrated restore required of DEC-010 (ADR-007)</t>
        </is>
      </c>
      <c r="J34" s="10" t="inlineStr">
        <is>
          <t xml:space="preserve">Not yet decided: DEC-010 (#60)</t>
        </is>
      </c>
      <c r="K34" s="10" t="inlineStr">
        <is>
          <t xml:space="preserve">Not yet decided: DEC-010 (#60)</t>
        </is>
      </c>
      <c r="L34" s="10" t="inlineStr">
        <is>
          <t xml:space="preserve">Health endpoint in src/app.js (#90, open)</t>
        </is>
      </c>
      <c r="M34" s="10" t="inlineStr">
        <is>
          <t xml:space="preserve">tests/health.test.js (#90, open). Availability measurement planned (M3)</t>
        </is>
      </c>
      <c r="N34" s="10" t="inlineStr">
        <is>
          <t xml:space="preserve">RSK-02, FEC-05, DEC-010</t>
        </is>
      </c>
      <c r="O34" s="10" t="s">
        <v>182</v>
      </c>
    </row>
    <row r="35" customFormat="false" ht="59.5" hidden="false" customHeight="false" outlineLevel="0" collapsed="false">
      <c r="A35" s="9" t="s">
        <v>446</v>
      </c>
      <c r="B35" s="9" t="s">
        <v>179</v>
      </c>
      <c r="C35" s="9" t="s">
        <v>292</v>
      </c>
      <c r="D35" s="9" t="s">
        <v>294</v>
      </c>
      <c r="E35" s="9" t="s">
        <v>180</v>
      </c>
      <c r="F35" s="9" t="s">
        <v>295</v>
      </c>
      <c r="G35" s="9" t="inlineStr">
        <is>
          <t xml:space="preserve">Not architecturally significant: a library and configuration choice inside authentication</t>
        </is>
      </c>
      <c r="H35" s="9" t="inlineStr">
        <is>
          <t xml:space="preserve">Identity and access</t>
        </is>
      </c>
      <c r="I35" s="9" t="inlineStr">
        <is>
          <t xml:space="preserve">Not yet designed</t>
        </is>
      </c>
      <c r="J35" s="9" t="inlineStr">
        <is>
          <t xml:space="preserve">Not yet designed</t>
        </is>
      </c>
      <c r="K35" s="9" t="inlineStr">
        <is>
          <t xml:space="preserve">ADR-002 (DEC-008, #91): argon2 0.45.1, Argon2id</t>
        </is>
      </c>
      <c r="L35" s="9" t="inlineStr">
        <is>
          <t xml:space="preserve">Not yet implemented</t>
        </is>
      </c>
      <c r="M35" s="9" t="inlineStr">
        <is>
          <t xml:space="preserve">Planned (M3)</t>
        </is>
      </c>
      <c r="N35" s="9" t="inlineStr">
        <is>
          <t xml:space="preserve">RSK-05, ADR-002</t>
        </is>
      </c>
      <c r="O35" s="9" t="s">
        <v>182</v>
      </c>
    </row>
    <row r="36" customFormat="false" ht="47.6" hidden="false" customHeight="false" outlineLevel="0" collapsed="false">
      <c r="A36" s="10" t="s">
        <v>447</v>
      </c>
      <c r="B36" s="10" t="s">
        <v>68</v>
      </c>
      <c r="C36" s="10" t="s">
        <v>297</v>
      </c>
      <c r="D36" s="10" t="s">
        <v>298</v>
      </c>
      <c r="E36" s="10" t="s">
        <v>180</v>
      </c>
      <c r="F36" s="10" t="s">
        <v>299</v>
      </c>
      <c r="G36" s="10" t="inlineStr">
        <is>
          <t xml:space="preserve">ASR-01 server-side authorisation with record-level scope</t>
        </is>
      </c>
      <c r="H36" s="10" t="inlineStr">
        <is>
          <t xml:space="preserve">Authorisation policy, cross-cutting</t>
        </is>
      </c>
      <c r="I36" s="10" t="inlineStr">
        <is>
          <t xml:space="preserve">Proposed, ADR-007 (#97, under review): The fields the scope conditions filter: requesterId, categoryId and visibility</t>
        </is>
      </c>
      <c r="J36" s="10" t="inlineStr">
        <is>
          <t xml:space="preserve">ADR-006 (DEC-014)</t>
        </is>
      </c>
      <c r="K36" s="10" t="inlineStr">
        <is>
          <t xml:space="preserve">ADR-002 (DEC-008, #91): Node.js 24, Express 5, Prisma 7 on PostgreSQL</t>
        </is>
      </c>
      <c r="L36" s="10" t="inlineStr">
        <is>
          <t xml:space="preserve">src/modules/authorisation-policy/policy.js (#94, merged)</t>
        </is>
      </c>
      <c r="M36" s="10" t="inlineStr">
        <is>
          <t xml:space="preserve">tests/authorisation-policy.test.js (#94): all sixty Access Matrix cells; four deliberate faults each failed the suite. Endpoint negative tests planned (M3)</t>
        </is>
      </c>
      <c r="N36" s="10" t="inlineStr">
        <is>
          <t xml:space="preserve">RSK-05, FEC-01, ADR-006, CR-002 (#92)</t>
        </is>
      </c>
      <c r="O36" s="10" t="s">
        <v>182</v>
      </c>
    </row>
    <row r="37" customFormat="false" ht="35.7" hidden="false" customHeight="false" outlineLevel="0" collapsed="false">
      <c r="A37" s="9" t="s">
        <v>448</v>
      </c>
      <c r="B37" s="9" t="s">
        <v>179</v>
      </c>
      <c r="C37" s="9" t="s">
        <v>301</v>
      </c>
      <c r="D37" s="9" t="s">
        <v>302</v>
      </c>
      <c r="E37" s="9" t="s">
        <v>180</v>
      </c>
      <c r="F37" s="9" t="s">
        <v>303</v>
      </c>
      <c r="G37" s="9" t="inlineStr">
        <is>
          <t xml:space="preserve">Not architecturally significant: settled under DEC-010</t>
        </is>
      </c>
      <c r="H37" s="9" t="inlineStr">
        <is>
          <t xml:space="preserve">Deployment</t>
        </is>
      </c>
      <c r="I37" s="9" t="inlineStr">
        <is>
          <t xml:space="preserve">Not applicable</t>
        </is>
      </c>
      <c r="J37" s="9" t="inlineStr">
        <is>
          <t xml:space="preserve">Not yet decided: DEC-010 (#60)</t>
        </is>
      </c>
      <c r="K37" s="9" t="inlineStr">
        <is>
          <t xml:space="preserve">Not yet decided: DEC-010 (#60)</t>
        </is>
      </c>
      <c r="L37" s="9" t="inlineStr">
        <is>
          <t xml:space="preserve">Not yet implemented</t>
        </is>
      </c>
      <c r="M37" s="9" t="inlineStr">
        <is>
          <t xml:space="preserve">Planned (M3)</t>
        </is>
      </c>
      <c r="N37" s="9" t="inlineStr">
        <is>
          <t xml:space="preserve">DEC-010</t>
        </is>
      </c>
      <c r="O37" s="9" t="s">
        <v>182</v>
      </c>
    </row>
    <row r="38" customFormat="false" ht="35.7" hidden="false" customHeight="false" outlineLevel="0" collapsed="false">
      <c r="A38" s="10" t="s">
        <v>449</v>
      </c>
      <c r="B38" s="10" t="s">
        <v>68</v>
      </c>
      <c r="C38" s="10" t="s">
        <v>305</v>
      </c>
      <c r="D38" s="10" t="s">
        <v>306</v>
      </c>
      <c r="E38" s="10" t="s">
        <v>180</v>
      </c>
      <c r="F38" s="10" t="s">
        <v>307</v>
      </c>
      <c r="G38" s="10" t="inlineStr">
        <is>
          <t xml:space="preserve">Not architecturally significant: a process and pipeline control (#67, RSK-11)</t>
        </is>
      </c>
      <c r="H38" s="10" t="inlineStr">
        <is>
          <t xml:space="preserve">Repository and pipeline, not an application module</t>
        </is>
      </c>
      <c r="I38" s="10" t="inlineStr">
        <is>
          <t xml:space="preserve">Not applicable</t>
        </is>
      </c>
      <c r="J38" s="10" t="inlineStr">
        <is>
          <t xml:space="preserve">Secret scanning as the first CI check (#67)</t>
        </is>
      </c>
      <c r="K38" s="10" t="inlineStr">
        <is>
          <t xml:space="preserve">Gitleaks workflow proposed in #87</t>
        </is>
      </c>
      <c r="L38" s="10" t="inlineStr">
        <is>
          <t xml:space="preserve">Gitleaks workflow in #87, open. It ran on #87 on 29 September 2026 and passed</t>
        </is>
      </c>
      <c r="M38" s="10" t="inlineStr">
        <is>
          <t xml:space="preserve">Secret scan run on #87 (29 September 2026): 2 commits scanned, no leaks found. Runs on every pull request once #87 merges</t>
        </is>
      </c>
      <c r="N38" s="10" t="inlineStr">
        <is>
          <t xml:space="preserve">RSK-11</t>
        </is>
      </c>
      <c r="O38" s="10" t="s">
        <v>182</v>
      </c>
    </row>
    <row r="39" customFormat="false" ht="71.4" hidden="false" customHeight="false" outlineLevel="0" collapsed="false">
      <c r="A39" s="9" t="s">
        <v>451</v>
      </c>
      <c r="B39" s="9" t="s">
        <v>73</v>
      </c>
      <c r="C39" s="9" t="s">
        <v>309</v>
      </c>
      <c r="D39" s="9" t="s">
        <v>310</v>
      </c>
      <c r="E39" s="9" t="s">
        <v>180</v>
      </c>
      <c r="F39" s="9" t="s">
        <v>311</v>
      </c>
      <c r="G39" s="9" t="inlineStr">
        <is>
          <t xml:space="preserve">Not architecturally significant: shapes the data model and is enforced through ASR-01</t>
        </is>
      </c>
      <c r="H39" s="9" t="inlineStr">
        <is>
          <t xml:space="preserve">Persistence, with the Authorisation policy</t>
        </is>
      </c>
      <c r="I39" s="9" t="inlineStr">
        <is>
          <t xml:space="preserve">Proposed, ADR-007 (#97, under review): Only the fields the requirements need, read through policy-scoped queries</t>
        </is>
      </c>
      <c r="J39" s="9" t="inlineStr">
        <is>
          <t xml:space="preserve">ADR-006 (DEC-014) for access</t>
        </is>
      </c>
      <c r="K39" s="9" t="inlineStr">
        <is>
          <t xml:space="preserve">ADR-002 (DEC-008, #91): Node.js 24, Express 5, Prisma 7 on PostgreSQL</t>
        </is>
      </c>
      <c r="L39" s="9" t="inlineStr">
        <is>
          <t xml:space="preserve">Access scope in src/modules/authorisation-policy/policy.js (#94, merged)</t>
        </is>
      </c>
      <c r="M39" s="9" t="inlineStr">
        <is>
          <t xml:space="preserve">Planned (M3)</t>
        </is>
      </c>
      <c r="N39" s="9" t="inlineStr">
        <is>
          <t xml:space="preserve">RSK-05, RSK-10, FEC-04, ADR-006</t>
        </is>
      </c>
      <c r="O39" s="9" t="s">
        <v>182</v>
      </c>
    </row>
    <row r="40" customFormat="false" ht="47.6" hidden="false" customHeight="false" outlineLevel="0" collapsed="false">
      <c r="A40" s="10" t="s">
        <v>453</v>
      </c>
      <c r="B40" s="10" t="s">
        <v>40</v>
      </c>
      <c r="C40" s="10" t="s">
        <v>313</v>
      </c>
      <c r="D40" s="10" t="s">
        <v>315</v>
      </c>
      <c r="E40" s="10" t="s">
        <v>192</v>
      </c>
      <c r="F40" s="10" t="s">
        <v>316</v>
      </c>
      <c r="G40" s="10" t="inlineStr">
        <is>
          <t xml:space="preserve">Not architecturally significant: interface design</t>
        </is>
      </c>
      <c r="H40" s="10" t="inlineStr">
        <is>
          <t xml:space="preserve">Client interface, not yet designed</t>
        </is>
      </c>
      <c r="I40" s="10" t="inlineStr">
        <is>
          <t xml:space="preserve">Not applicable</t>
        </is>
      </c>
      <c r="J40" s="10" t="inlineStr">
        <is>
          <t xml:space="preserve">Not yet designed</t>
        </is>
      </c>
      <c r="K40" s="10" t="inlineStr">
        <is>
          <t xml:space="preserve">ADR-002 (DEC-008, #91): React 19 with Vite, added with the first client work</t>
        </is>
      </c>
      <c r="L40" s="10" t="inlineStr">
        <is>
          <t xml:space="preserve">Not yet implemented</t>
        </is>
      </c>
      <c r="M40" s="10" t="inlineStr">
        <is>
          <t xml:space="preserve">Planned (M3)</t>
        </is>
      </c>
      <c r="N40" s="10" t="inlineStr">
        <is>
          <t xml:space="preserve">-</t>
        </is>
      </c>
      <c r="O40" s="10" t="s">
        <v>182</v>
      </c>
    </row>
    <row r="41" customFormat="false" ht="71.4" hidden="false" customHeight="false" outlineLevel="0" collapsed="false">
      <c r="A41" s="9" t="s">
        <v>454</v>
      </c>
      <c r="B41" s="9" t="s">
        <v>40</v>
      </c>
      <c r="C41" s="9" t="s">
        <v>318</v>
      </c>
      <c r="D41" s="9" t="s">
        <v>319</v>
      </c>
      <c r="E41" s="9" t="s">
        <v>192</v>
      </c>
      <c r="F41" s="9" t="s">
        <v>320</v>
      </c>
      <c r="G41" s="9" t="inlineStr">
        <is>
          <t xml:space="preserve">Not architecturally significant: interface design</t>
        </is>
      </c>
      <c r="H41" s="9" t="inlineStr">
        <is>
          <t xml:space="preserve">Client interface, not yet designed</t>
        </is>
      </c>
      <c r="I41" s="9" t="inlineStr">
        <is>
          <t xml:space="preserve">Not applicable</t>
        </is>
      </c>
      <c r="J41" s="9" t="inlineStr">
        <is>
          <t xml:space="preserve">Not yet designed</t>
        </is>
      </c>
      <c r="K41" s="9" t="inlineStr">
        <is>
          <t xml:space="preserve">ADR-002 (DEC-008, #91): React 19 with Vite, added with the first client work</t>
        </is>
      </c>
      <c r="L41" s="9" t="inlineStr">
        <is>
          <t xml:space="preserve">Not yet implemented</t>
        </is>
      </c>
      <c r="M41" s="9" t="inlineStr">
        <is>
          <t xml:space="preserve">Planned (M3)</t>
        </is>
      </c>
      <c r="N41" s="9" t="inlineStr">
        <is>
          <t xml:space="preserve">-</t>
        </is>
      </c>
      <c r="O41" s="9" t="s">
        <v>182</v>
      </c>
    </row>
    <row r="42" customFormat="false" ht="59.5" hidden="false" customHeight="false" outlineLevel="0" collapsed="false">
      <c r="A42" s="10" t="s">
        <v>455</v>
      </c>
      <c r="B42" s="10" t="s">
        <v>58</v>
      </c>
      <c r="C42" s="10" t="s">
        <v>322</v>
      </c>
      <c r="D42" s="10" t="s">
        <v>324</v>
      </c>
      <c r="E42" s="10" t="s">
        <v>180</v>
      </c>
      <c r="F42" s="10" t="s">
        <v>325</v>
      </c>
      <c r="G42" s="10" t="inlineStr">
        <is>
          <t xml:space="preserve">ASR-03 auditability of every status, assignee and priority change</t>
        </is>
      </c>
      <c r="H42" s="10" t="inlineStr">
        <is>
          <t xml:space="preserve">Audit, and Workflow and status (ADR-001 rule 3)</t>
        </is>
      </c>
      <c r="I42" s="10" t="inlineStr">
        <is>
          <t xml:space="preserve">Proposed, ADR-007 (#97, under review): Status and history written in one transaction. Previous and new values in the audit entry were requested on review of #97</t>
        </is>
      </c>
      <c r="J42" s="10" t="inlineStr">
        <is>
          <t xml:space="preserve">ADR-001 rule 3. ADR-005 (DEC-013) places every status change in the workflow module</t>
        </is>
      </c>
      <c r="K42" s="10" t="inlineStr">
        <is>
          <t xml:space="preserve">ADR-002 (DEC-008, #91): Node.js 24, Express 5, Prisma 7 on PostgreSQL</t>
        </is>
      </c>
      <c r="L42" s="10" t="inlineStr">
        <is>
          <t xml:space="preserve">Not yet implemented</t>
        </is>
      </c>
      <c r="M42" s="10" t="inlineStr">
        <is>
          <t xml:space="preserve">Planned (M3): an audit entry per change type, and a reconciliation query</t>
        </is>
      </c>
      <c r="N42" s="10" t="inlineStr">
        <is>
          <t xml:space="preserve">RSK-09, ADR-001, ADR-005</t>
        </is>
      </c>
      <c r="O42" s="10" t="s">
        <v>182</v>
      </c>
    </row>
    <row r="43" customFormat="false" ht="59.5" hidden="false" customHeight="false" outlineLevel="0" collapsed="false">
      <c r="A43" s="9" t="s">
        <v>457</v>
      </c>
      <c r="B43" s="9" t="s">
        <v>83</v>
      </c>
      <c r="C43" s="9" t="s">
        <v>327</v>
      </c>
      <c r="D43" s="9" t="s">
        <v>329</v>
      </c>
      <c r="E43" s="9" t="s">
        <v>180</v>
      </c>
      <c r="F43" s="9" t="s">
        <v>330</v>
      </c>
      <c r="G43" s="9" t="inlineStr">
        <is>
          <t xml:space="preserve">ASR-04 changeability under two-approval review</t>
        </is>
      </c>
      <c r="H43" s="9" t="inlineStr">
        <is>
          <t xml:space="preserve">All modules</t>
        </is>
      </c>
      <c r="I43" s="9" t="inlineStr">
        <is>
          <t xml:space="preserve">Not applicable</t>
        </is>
      </c>
      <c r="J43" s="9" t="inlineStr">
        <is>
          <t xml:space="preserve">Tests generated from fixtures exported from the registers (ADR-005, ADR-006)</t>
        </is>
      </c>
      <c r="K43" s="9" t="inlineStr">
        <is>
          <t xml:space="preserve">ADR-002 (DEC-008, #91): node:test, built in</t>
        </is>
      </c>
      <c r="L43" s="9" t="inlineStr">
        <is>
          <t xml:space="preserve">tests/ (#93, #94, merged)</t>
        </is>
      </c>
      <c r="M43" s="9" t="inlineStr">
        <is>
          <t xml:space="preserve">22 tests pass locally. No CI check has run yet (#67)</t>
        </is>
      </c>
      <c r="N43" s="9" t="inlineStr">
        <is>
          <t xml:space="preserve">RSK-03, ADR-002</t>
        </is>
      </c>
      <c r="O43" s="9" t="s">
        <v>182</v>
      </c>
    </row>
    <row r="44" customFormat="false" ht="59.5" hidden="false" customHeight="false" outlineLevel="0" collapsed="false">
      <c r="A44" s="10" t="s">
        <v>459</v>
      </c>
      <c r="B44" s="10" t="s">
        <v>68</v>
      </c>
      <c r="C44" s="10" t="s">
        <v>332</v>
      </c>
      <c r="D44" s="10" t="s">
        <v>334</v>
      </c>
      <c r="E44" s="10" t="s">
        <v>180</v>
      </c>
      <c r="F44" s="10" t="s">
        <v>335</v>
      </c>
      <c r="G44" s="10" t="inlineStr">
        <is>
          <t xml:space="preserve">ASR-05 free tier at the committed availability</t>
        </is>
      </c>
      <c r="H44" s="10" t="inlineStr">
        <is>
          <t xml:space="preserve">Deployment</t>
        </is>
      </c>
      <c r="I44" s="10" t="inlineStr">
        <is>
          <t xml:space="preserve">Hosting under DEC-010</t>
        </is>
      </c>
      <c r="J44" s="10" t="inlineStr">
        <is>
          <t xml:space="preserve">Not yet decided: DEC-010 (#60)</t>
        </is>
      </c>
      <c r="K44" s="10" t="inlineStr">
        <is>
          <t xml:space="preserve">Not yet decided: DEC-010 (#60). ADR-002 requires no paid component</t>
        </is>
      </c>
      <c r="L44" s="10" t="inlineStr">
        <is>
          <t xml:space="preserve">Not yet implemented</t>
        </is>
      </c>
      <c r="M44" s="10" t="inlineStr">
        <is>
          <t xml:space="preserve">Planned: a recorded cost review before release</t>
        </is>
      </c>
      <c r="N44" s="10" t="inlineStr">
        <is>
          <t xml:space="preserve">RSK-02, FEC-05, DEC-010</t>
        </is>
      </c>
      <c r="O44" s="10" t="s">
        <v>182</v>
      </c>
    </row>
  </sheetData>
  <autoFilter ref="A2:O44"/>
  <mergeCells count="1">
    <mergeCell ref="A1:O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242.81"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inlineStr">
        <is>
          <t xml:space="preserve">M2 (29 September 2026): Open, score unchanged under #68. ADR-002 meets the preference for a stack in which two of three members have prior exposure; the proof of concept is still a merge condition for #90.
M1 baseline: Open</t>
        </is>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1021</v>
      </c>
      <c r="L6" s="10" t="s">
        <v>1022</v>
      </c>
    </row>
    <row r="7" customFormat="false" ht="323.75" hidden="false" customHeight="false" outlineLevel="0" collapsed="false">
      <c r="A7" s="9" t="s">
        <v>385</v>
      </c>
      <c r="B7" s="9" t="s">
        <v>497</v>
      </c>
      <c r="C7" s="9" t="s">
        <v>498</v>
      </c>
      <c r="D7" s="9" t="n">
        <v>2</v>
      </c>
      <c r="E7" s="9" t="n">
        <v>5</v>
      </c>
      <c r="F7" s="11" t="n">
        <f aca="false">D7*E7</f>
        <v>10</v>
      </c>
      <c r="G7" s="11" t="str">
        <f aca="false">IF(F7&gt;=20,"Critical",IF(F7&gt;=12,"High",IF(F7&gt;=6,"Medium","Low")))</f>
        <v>Medium</v>
      </c>
      <c r="H7" s="9" t="s">
        <v>499</v>
      </c>
      <c r="I7" s="9" t="s">
        <v>500</v>
      </c>
      <c r="J7" s="9" t="s">
        <v>1002</v>
      </c>
      <c r="K7" s="9" t="inlineStr">
        <is>
          <t xml:space="preserve">M2 (29 September 2026): Open. Probability re-scored from 3 to 2 under #68: ADR-006 (#94) provides one server-side policy for actions and read scope, tested against every Access Matrix cell. Impact stays at 5, and the risk stays open until the negative tests run at the endpoints in M3.
M1 baseline: Open</t>
        </is>
      </c>
      <c r="L7" s="9" t="inlineStr">
        <is>
          <t xml:space="preserve">FR-011, FR-012, NFR-005, NFR-008, CON-05, FEC-01, ADR-006, #94</t>
        </is>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3</v>
      </c>
      <c r="E9" s="9" t="n">
        <v>4</v>
      </c>
      <c r="F9" s="11" t="n">
        <f aca="false">D9*E9</f>
        <v>8</v>
      </c>
      <c r="G9" s="11" t="str">
        <f aca="false">IF(F9&gt;=20,"Critical",IF(F9&gt;=12,"High",IF(F9&gt;=6,"Medium","Low")))</f>
        <v>Medium</v>
      </c>
      <c r="H9" s="9" t="s">
        <v>511</v>
      </c>
      <c r="I9" s="9" t="s">
        <v>512</v>
      </c>
      <c r="J9" s="9" t="s">
        <v>1004</v>
      </c>
      <c r="K9" s="9" t="s">
        <v>1023</v>
      </c>
      <c r="L9" s="9" t="s">
        <v>1024</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323.75" hidden="false" customHeight="false" outlineLevel="0" collapsed="false">
      <c r="A14" s="10" t="s">
        <v>536</v>
      </c>
      <c r="B14" s="10" t="s">
        <v>537</v>
      </c>
      <c r="C14" s="10" t="s">
        <v>538</v>
      </c>
      <c r="D14" s="10" t="n">
        <v>3</v>
      </c>
      <c r="E14" s="10" t="n">
        <v>4</v>
      </c>
      <c r="F14" s="13" t="n">
        <f aca="false">D14*E14</f>
        <v>12</v>
      </c>
      <c r="G14" s="13" t="str">
        <f aca="false">IF(F14&gt;=20,"Critical",IF(F14&gt;=12,"High",IF(F14&gt;=6,"Medium","Low")))</f>
        <v>High</v>
      </c>
      <c r="H14" s="10" t="inlineStr">
        <is>
          <t xml:space="preserve">M2 (29 September 2026): ADR-002 pins every package exactly, with a committed lockfile. #90 overrides deepmerge-ts to 8.0.2 and mysql2 to 3.24.4, and npm audit reports 0 vulnerabilities at 9529e80. The overrides are removed when a Prisma 7 release fixes issue #30295. Automated dependency checking arrives with #67.
M1 baseline: Make dependency-ecosystem maturity a criterion in DEC-008. Adopt lockfiles and automated dependency and vulnerability checking from the first construction Pull Request. Require any new dependency to be justified in the Pull Request that introduces it.</t>
        </is>
      </c>
      <c r="I14" s="10" t="s">
        <v>540</v>
      </c>
      <c r="J14" s="10" t="s">
        <v>1009</v>
      </c>
      <c r="K14" s="10" t="inlineStr">
        <is>
          <t xml:space="preserve">M2 (29 September 2026): Materialised - active. Prisma 7.10.0 pins deepmerge-ts 7.1.5 and mysql2 3.15.3, which carry high-severity advisories no 7.x release has fixed (Prisma issue #30295, found 28 September 2026). Probability re-scored from 2 to 3 under #68, for the owner to confirm.
M1 baseline: Open</t>
        </is>
      </c>
      <c r="L14" s="10" t="inlineStr">
        <is>
          <t xml:space="preserve">DEC-008, FEC-06, CON-05, ADR-002, #90, #91</t>
        </is>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row r="17" customFormat="false" ht="46.25" hidden="false" customHeight="false" outlineLevel="0" collapsed="false">
      <c r="A17" s="9" t="s">
        <v>1025</v>
      </c>
      <c r="B17" s="9" t="s">
        <v>1026</v>
      </c>
      <c r="C17" s="9" t="s">
        <v>1027</v>
      </c>
      <c r="D17" s="9">
        <v>3</v>
      </c>
      <c r="E17" s="9">
        <v>3</v>
      </c>
      <c r="F17" s="9">
        <f>D17*E17</f>
      </c>
      <c r="G17" s="9">
        <f>IF(F17&gt;=20,"Critical",IF(F17&gt;=12,"High",IF(F17&gt;=6,"Medium","Low")))</f>
      </c>
      <c r="H17" s="9" t="s">
        <v>1028</v>
      </c>
      <c r="I17" s="9" t="s">
        <v>1029</v>
      </c>
      <c r="J17" s="9" t="s">
        <v>1030</v>
      </c>
      <c r="K17" s="9" t="s">
        <v>1031</v>
      </c>
      <c r="L17" s="9" t="s">
        <v>1032</v>
      </c>
    </row>
    <row r="18" customFormat="false" ht="35.05" hidden="false" customHeight="false" outlineLevel="0" collapsed="false">
      <c r="A18" s="10" t="inlineStr">
        <is>
          <t xml:space="preserve">RSK-16</t>
        </is>
      </c>
      <c r="B18" s="10" t="inlineStr">
        <is>
          <t xml:space="preserve">The coded status transition table and the controlled Status Model register drift apart after a later change.</t>
        </is>
      </c>
      <c r="C18" s="10" t="inlineStr">
        <is>
          <t xml:space="preserve">A change is made to the Status Model or transition rules without re-exporting the controlled fixture and updating the implementation and tests together.</t>
        </is>
      </c>
      <c r="D18" s="10" t="n">
        <v>2</v>
      </c>
      <c r="E18" s="10" t="n">
        <v>4</v>
      </c>
      <c r="F18" s="13" t="n">
        <f aca="false">D18*E18</f>
        <v>8</v>
      </c>
      <c r="G18" s="13" t="str">
        <f aca="false">IF(F18&gt;=20,"Critical",IF(F18&gt;=12,"High",IF(F18&gt;=6,"Medium","Low")))</f>
        <v>Medium</v>
      </c>
      <c r="H18" s="10" t="inlineStr">
        <is>
          <t xml:space="preserve">Require every controlled Status Model change to update the transition table, re-export the fixture from the controlled register and run the exhaustive transition tests in the same change.</t>
        </is>
      </c>
      <c r="I18" s="10" t="inlineStr">
        <is>
          <t xml:space="preserve">Stop the affected status change from merging or releasing, reconcile the table against the controlled Status Model, regenerate the fixture and rerun the full transition matrix before accepting the change.</t>
        </is>
      </c>
      <c r="J18" s="10" t="inlineStr">
        <is>
          <t xml:space="preserve">Darius Mushi</t>
        </is>
      </c>
      <c r="K18" s="10" t="inlineStr">
        <is>
          <t xml:space="preserve">Open</t>
        </is>
      </c>
      <c r="L18" s="10" t="inlineStr">
        <is>
          <t xml:space="preserve">ADR-005, RSK-09, FEC-02, FR-016, #61, #93</t>
        </is>
      </c>
    </row>
    <row r="19" customFormat="false" ht="35.05" hidden="false" customHeight="false" outlineLevel="0" collapsed="false">
      <c r="A19" s="9" t="inlineStr">
        <is>
          <t xml:space="preserve">RSK-17</t>
        </is>
      </c>
      <c r="B19" s="9" t="inlineStr">
        <is>
          <t xml:space="preserve">A new request query bypasses the central authorisation scope and exposes records that the actor is not authorised to see.</t>
        </is>
      </c>
      <c r="C19" s="9" t="inlineStr">
        <is>
          <t xml:space="preserve">A query is implemented without using the ADR-006 scoped query condition, the scopedWhere path.</t>
        </is>
      </c>
      <c r="D19" s="9" t="n">
        <v>2</v>
      </c>
      <c r="E19" s="9" t="n">
        <v>5</v>
      </c>
      <c r="F19" s="11" t="n">
        <f aca="false">D19*E19</f>
        <v>10</v>
      </c>
      <c r="G19" s="11" t="str">
        <f aca="false">IF(F19&gt;=20,"Critical",IF(F19&gt;=12,"High",IF(F19&gt;=6,"Medium","Low")))</f>
        <v>Medium</v>
      </c>
      <c r="H19" s="9" t="inlineStr">
        <is>
          <t xml:space="preserve">Require all request queries to obtain their scope from the central authorisation policy, review every new query for the scoped path, and execute the NFR-005 negative authorisation matrix against endpoints.</t>
        </is>
      </c>
      <c r="I19" s="9" t="inlineStr">
        <is>
          <t xml:space="preserve">Disable or fix the unscoped path immediately, assess whether unauthorised records were exposed, record the incident, and rerun the complete negative authorisation test matrix before release.</t>
        </is>
      </c>
      <c r="J19" s="9" t="inlineStr">
        <is>
          <t xml:space="preserve">Tristan Roets</t>
        </is>
      </c>
      <c r="K19" s="9" t="inlineStr">
        <is>
          <t xml:space="preserve">Open</t>
        </is>
      </c>
      <c r="L19" s="9" t="inlineStr">
        <is>
          <t xml:space="preserve">ADR-006, ADR-007, RSK-05, FEC-01, NFR-005, #62, #94</t>
        </is>
      </c>
    </row>
    <row r="20" customFormat="false" ht="35.05" hidden="false" customHeight="false" outlineLevel="0" collapsed="false">
      <c r="A20" s="10" t="inlineStr">
        <is>
          <t xml:space="preserve">RSK-18</t>
        </is>
      </c>
      <c r="B20" s="10" t="inlineStr">
        <is>
          <t xml:space="preserve">Reporting load degrades operational request-query performance because reporting and operational work share the same PostgreSQL store.</t>
        </is>
      </c>
      <c r="C20" s="10" t="inlineStr">
        <is>
          <t xml:space="preserve">ADR-001 and ADR-007 keep reporting on the transactional store while request volume and retention are unknown (FEC-06).</t>
        </is>
      </c>
      <c r="D20" s="10" t="n">
        <v>2</v>
      </c>
      <c r="E20" s="10" t="n">
        <v>3</v>
      </c>
      <c r="F20" s="13" t="n">
        <f aca="false">D20*E20</f>
        <v>6</v>
      </c>
      <c r="G20" s="13" t="str">
        <f aca="false">IF(F20&gt;=20,"Critical",IF(F20&gt;=12,"High",IF(F20&gt;=6,"Medium","Low")))</f>
        <v>Medium</v>
      </c>
      <c r="H20" s="10" t="inlineStr">
        <is>
          <t xml:space="preserve">Use appropriate indexes and measure NFR-001 under reporting load before introducing extra infrastructure.</t>
        </is>
      </c>
      <c r="I20" s="10" t="inlineStr">
        <is>
          <t xml:space="preserve">Move reporting behind a separate read path or replica if the ADR-001 and NFR-001 trigger is reached.</t>
        </is>
      </c>
      <c r="J20" s="10" t="inlineStr">
        <is>
          <t xml:space="preserve">Tristan Roets</t>
        </is>
      </c>
      <c r="K20" s="10" t="inlineStr">
        <is>
          <t xml:space="preserve">Open</t>
        </is>
      </c>
      <c r="L20" s="10" t="inlineStr">
        <is>
          <t xml:space="preserve">ADR-007, FEC-06, NFR-001, #58, #97</t>
        </is>
      </c>
    </row>
    <row r="21" customFormat="false" ht="35.05" hidden="false" customHeight="false" outlineLevel="0" collapsed="false">
      <c r="A21" s="9" t="inlineStr">
        <is>
          <t xml:space="preserve">RSK-19</t>
        </is>
      </c>
      <c r="B21" s="9" t="inlineStr">
        <is>
          <t xml:space="preserve">Audit evidence becomes inconsistent with the current Request state because a controlled state change is written outside the required transaction boundary.</t>
        </is>
      </c>
      <c r="C21" s="9" t="inlineStr">
        <is>
          <t xml:space="preserve">A status, assignee or priority change is persisted by a path that does not write its audit entry in the same transaction.</t>
        </is>
      </c>
      <c r="D21" s="9" t="n">
        <v>2</v>
      </c>
      <c r="E21" s="9" t="n">
        <v>5</v>
      </c>
      <c r="F21" s="11" t="n">
        <f aca="false">D21*E21</f>
        <v>10</v>
      </c>
      <c r="G21" s="11" t="str">
        <f aca="false">IF(F21&gt;=20,"Critical",IF(F21&gt;=12,"High",IF(F21&gt;=6,"Medium","Low")))</f>
        <v>Medium</v>
      </c>
      <c r="H21" s="9" t="inlineStr">
        <is>
          <t xml:space="preserve">Expose transactional persistence operations for status, assignee and priority changes and verify rollback and reconciliation behaviour against FR-025 and NFR-011.</t>
        </is>
      </c>
      <c r="I21" s="9" t="inlineStr">
        <is>
          <t xml:space="preserve">Block further affected changes, identify inconsistent records, reconcile them from controlled evidence and fix the transaction path before release.</t>
        </is>
      </c>
      <c r="J21" s="9" t="inlineStr">
        <is>
          <t xml:space="preserve">Tristan Roets</t>
        </is>
      </c>
      <c r="K21" s="9" t="inlineStr">
        <is>
          <t xml:space="preserve">Open</t>
        </is>
      </c>
      <c r="L21" s="9" t="inlineStr">
        <is>
          <t xml:space="preserve">ADR-007, ADR-001 rule 3, FR-025, FR-026, NFR-011, #58, #97</t>
        </is>
      </c>
    </row>
    <row r="22" customFormat="false" ht="35.05" hidden="false" customHeight="false" outlineLevel="0" collapsed="false">
      <c r="A22" s="10" t="inlineStr">
        <is>
          <t xml:space="preserve">RSK-20</t>
        </is>
      </c>
      <c r="B22" s="10" t="inlineStr">
        <is>
          <t xml:space="preserve">A database backup exists but cannot successfully restore the CivicConnect service when recovery is required.</t>
        </is>
      </c>
      <c r="C22" s="10" t="inlineStr">
        <is>
          <t xml:space="preserve">Backups are taken without a tested restore procedure, and the hosting platform is not yet decided (DEC-010).</t>
        </is>
      </c>
      <c r="D22" s="10" t="n">
        <v>2</v>
      </c>
      <c r="E22" s="10" t="n">
        <v>5</v>
      </c>
      <c r="F22" s="13" t="n">
        <f aca="false">D22*E22</f>
        <v>10</v>
      </c>
      <c r="G22" s="13" t="str">
        <f aca="false">IF(F22&gt;=20,"Critical",IF(F22&gt;=12,"High",IF(F22&gt;=6,"Medium","Low")))</f>
        <v>Medium</v>
      </c>
      <c r="H22" s="10" t="inlineStr">
        <is>
          <t xml:space="preserve">DEC-010 must define persistent database storage plus a tested backup-and-restore procedure; a backup is not accepted as recovery evidence until restoration succeeds.</t>
        </is>
      </c>
      <c r="I22" s="10" t="inlineStr">
        <is>
          <t xml:space="preserve">Restore from the most recent proven recoverable copy, document data loss or recovery limitations, and correct the backup and recovery process before production readiness is claimed.</t>
        </is>
      </c>
      <c r="J22" s="10" t="inlineStr">
        <is>
          <t xml:space="preserve">Darius Mushi</t>
        </is>
      </c>
      <c r="K22" s="10" t="inlineStr">
        <is>
          <t xml:space="preserve">Open</t>
        </is>
      </c>
      <c r="L22" s="10" t="inlineStr">
        <is>
          <t xml:space="preserve">ADR-007, DEC-010, #58, #97, #60</t>
        </is>
      </c>
    </row>
    <row r="23" customFormat="false" ht="35.05" hidden="false" customHeight="false" outlineLevel="0" collapsed="false">
      <c r="A23" s="9" t="inlineStr">
        <is>
          <t xml:space="preserve">RSK-21</t>
        </is>
      </c>
      <c r="B23" s="9" t="inlineStr">
        <is>
          <t xml:space="preserve">The authoritative Prisma schema and the physical PostgreSQL migration drift apart.</t>
        </is>
      </c>
      <c r="C23" s="9" t="inlineStr">
        <is>
          <t xml:space="preserve">The initial SQL and the Prisma schema are maintained as two definitions instead of generating migrations from one model.</t>
        </is>
      </c>
      <c r="D23" s="9" t="n">
        <v>2</v>
      </c>
      <c r="E23" s="9" t="n">
        <v>4</v>
      </c>
      <c r="F23" s="11" t="n">
        <f aca="false">D23*E23</f>
        <v>8</v>
      </c>
      <c r="G23" s="11" t="str">
        <f aca="false">IF(F23&gt;=20,"Critical",IF(F23&gt;=12,"High",IF(F23&gt;=6,"Medium","Low")))</f>
        <v>Medium</v>
      </c>
      <c r="H23" s="9" t="inlineStr">
        <is>
          <t xml:space="preserve">Keep prisma/schema.prisma authoritative, use explicit physical-name mappings and generate and review migrations against that model rather than manually maintaining two independent schemas.</t>
        </is>
      </c>
      <c r="I23" s="9" t="inlineStr">
        <is>
          <t xml:space="preserve">Stop schema deployment, compare the live migration against the Prisma model, correct the migration through controlled change and verify existing data before continuing.</t>
        </is>
      </c>
      <c r="J23" s="9" t="inlineStr">
        <is>
          <t xml:space="preserve">Tristan Roets</t>
        </is>
      </c>
      <c r="K23" s="9" t="inlineStr">
        <is>
          <t xml:space="preserve">Open</t>
        </is>
      </c>
      <c r="L23" s="9" t="inlineStr">
        <is>
          <t xml:space="preserve">ADR-007, ADR-002, DEC-011, #58, #97</t>
        </is>
      </c>
    </row>
    <row r="24" customFormat="false" ht="35.05" hidden="false" customHeight="false" outlineLevel="0" collapsed="false">
      <c r="A24" s="10" t="inlineStr">
        <is>
          <t xml:space="preserve">RSK-22</t>
        </is>
      </c>
      <c r="B24" s="10" t="inlineStr">
        <is>
          <t xml:space="preserve">Reported requester urgency is accidentally treated as staff-controlled priority.</t>
        </is>
      </c>
      <c r="C24" s="10" t="inlineStr">
        <is>
          <t xml:space="preserve">The two attributes are confused in storage or in a service operation, against DEC-002 and FR-021.</t>
        </is>
      </c>
      <c r="D24" s="10" t="n">
        <v>2</v>
      </c>
      <c r="E24" s="10" t="n">
        <v>3</v>
      </c>
      <c r="F24" s="13" t="n">
        <f aca="false">D24*E24</f>
        <v>6</v>
      </c>
      <c r="G24" s="13" t="str">
        <f aca="false">IF(F24&gt;=20,"Critical",IF(F24&gt;=12,"High",IF(F24&gt;=6,"Medium","Low")))</f>
        <v>Medium</v>
      </c>
      <c r="H24" s="10" t="inlineStr">
        <is>
          <t xml:space="preserve">Persist reportedUrgency and priority as separate fields and prevent staff operations from changing reportedUrgency.</t>
        </is>
      </c>
      <c r="I24" s="10" t="inlineStr">
        <is>
          <t xml:space="preserve">Correct the affected request data, review audit evidence for the change and fix the service validation that allowed the fields to be confused.</t>
        </is>
      </c>
      <c r="J24" s="10" t="inlineStr">
        <is>
          <t xml:space="preserve">Tristan Roets</t>
        </is>
      </c>
      <c r="K24" s="10" t="inlineStr">
        <is>
          <t xml:space="preserve">Open</t>
        </is>
      </c>
      <c r="L24" s="10" t="inlineStr">
        <is>
          <t xml:space="preserve">ADR-007, DEC-002, FR-005, FR-021, #58, #97</t>
        </is>
      </c>
    </row>
    <row r="25" customFormat="false" ht="35.05" hidden="false" customHeight="false" outlineLevel="0" collapsed="false">
      <c r="A25" s="9" t="inlineStr">
        <is>
          <t xml:space="preserve">RSK-23</t>
        </is>
      </c>
      <c r="B25" s="9" t="inlineStr">
        <is>
          <t xml:space="preserve">An internal ActionEntry is disclosed to a Requester because visibility is defaulted or incorrectly assigned.</t>
        </is>
      </c>
      <c r="C25" s="9" t="inlineStr">
        <is>
          <t xml:space="preserve">An entry is written without an explicit visibility, or a read path does not apply the requester-visible scope.</t>
        </is>
      </c>
      <c r="D25" s="9" t="n">
        <v>2</v>
      </c>
      <c r="E25" s="9" t="n">
        <v>5</v>
      </c>
      <c r="F25" s="11" t="n">
        <f aca="false">D25*E25</f>
        <v>10</v>
      </c>
      <c r="G25" s="11" t="str">
        <f aca="false">IF(F25&gt;=20,"Critical",IF(F25&gt;=12,"High",IF(F25&gt;=6,"Medium","Low")))</f>
        <v>Medium</v>
      </c>
      <c r="H25" s="9" t="inlineStr">
        <is>
          <t xml:space="preserve">Make ActionEntry visibility mandatory with no default and require an explicit value on every new ActionEntry. ADR-006 must apply the requester-visible scope on reads.</t>
        </is>
      </c>
      <c r="I25" s="9" t="inlineStr">
        <is>
          <t xml:space="preserve">Remove requester access to the affected entry, assess the disclosure, correct the visibility data and fix the write or read path before release.</t>
        </is>
      </c>
      <c r="J25" s="9" t="inlineStr">
        <is>
          <t xml:space="preserve">Tristan Roets</t>
        </is>
      </c>
      <c r="K25" s="9" t="inlineStr">
        <is>
          <t xml:space="preserve">Open</t>
        </is>
      </c>
      <c r="L25" s="9" t="inlineStr">
        <is>
          <t xml:space="preserve">ADR-007, ADR-006, DEC-003, FR-011, FR-017, RSK-05, #58, #97</t>
        </is>
      </c>
    </row>
  </sheetData>
  <autoFilter ref="A2:L25"/>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104.06" hidden="false" customHeight="false" outlineLevel="0" collapsed="false">
      <c r="A3" s="9" t="s">
        <v>412</v>
      </c>
      <c r="B3" s="9" t="s">
        <v>560</v>
      </c>
      <c r="C3" s="9" t="s">
        <v>561</v>
      </c>
      <c r="D3" s="9" t="s">
        <v>562</v>
      </c>
      <c r="E3" s="9" t="inlineStr">
        <is>
          <t xml:space="preserve">M2 (29 September 2026): Partly answered, not closed. ADR-006 (#94) centralises authorisation and query scope, so a later answer changes only the policy module. Still missing: whether Staff scope stays by category or becomes site-based or global.
M1 baseline: Whether Staff scope is ultimately by category, by site, or global; whether SC-D-05 multi-site separation will ever be required.</t>
        </is>
      </c>
      <c r="F3" s="9" t="s">
        <v>564</v>
      </c>
      <c r="G3" s="9" t="s">
        <v>973</v>
      </c>
    </row>
    <row r="4" customFormat="false" ht="104.06" hidden="false" customHeight="false" outlineLevel="0" collapsed="false">
      <c r="A4" s="10" t="s">
        <v>400</v>
      </c>
      <c r="B4" s="10" t="s">
        <v>566</v>
      </c>
      <c r="C4" s="10" t="s">
        <v>567</v>
      </c>
      <c r="D4" s="10" t="s">
        <v>568</v>
      </c>
      <c r="E4" s="10" t="inlineStr">
        <is>
          <t xml:space="preserve">M2 (29 September 2026): ADR-005 (#93) holds the status model as a controlled transition table tested against the register. The concern about later status-model changes and their effect on existing data remains, with RSK-16 for the table and register drifting apart.
M1 baseline: The organisation's actual response target, and whether different categories genuinely need different targets (SC-D-03).</t>
        </is>
      </c>
      <c r="F4" s="10" t="s">
        <v>570</v>
      </c>
      <c r="G4" s="10" t="s">
        <v>571</v>
      </c>
    </row>
    <row r="5" customFormat="false" ht="92.5" hidden="false" customHeight="false" outlineLevel="0" collapsed="false">
      <c r="A5" s="9" t="s">
        <v>572</v>
      </c>
      <c r="B5" s="9" t="s">
        <v>573</v>
      </c>
      <c r="C5" s="9" t="s">
        <v>574</v>
      </c>
      <c r="D5" s="9" t="s">
        <v>575</v>
      </c>
      <c r="E5" s="9" t="inlineStr">
        <is>
          <t xml:space="preserve">M2 (29 September 2026): Still open. ADR-008 (#98, under review) keeps the M2 notification path in-process and leaves asynchronous delivery deferred. DEC-010 (#60) has still to establish platform support for background processing.
M1 baseline: The background-process, scheduled-job and idle-timeout limits of each candidate platform within free-tier terms.</t>
        </is>
      </c>
      <c r="F5" s="9" t="s">
        <v>577</v>
      </c>
      <c r="G5" s="9" t="s">
        <v>974</v>
      </c>
    </row>
    <row r="6" customFormat="false" ht="69.38" hidden="false" customHeight="false" outlineLevel="0" collapsed="false">
      <c r="A6" s="10" t="s">
        <v>579</v>
      </c>
      <c r="B6" s="10" t="s">
        <v>580</v>
      </c>
      <c r="C6" s="10" t="s">
        <v>581</v>
      </c>
      <c r="D6" s="10" t="s">
        <v>582</v>
      </c>
      <c r="E6" s="10" t="inlineStr">
        <is>
          <t xml:space="preserve">M2 (29 September 2026): Still open until the generated-data seeding approach exists as implementation evidence.
M1 baseline: Whether the organisation will provide any real historical data, and the retention position the organisation expects.</t>
        </is>
      </c>
      <c r="F6" s="10" t="s">
        <v>584</v>
      </c>
      <c r="G6" s="10" t="s">
        <v>585</v>
      </c>
    </row>
    <row r="7" customFormat="false" ht="80.94" hidden="false" customHeight="false" outlineLevel="0" collapsed="false">
      <c r="A7" s="9" t="s">
        <v>586</v>
      </c>
      <c r="B7" s="9" t="s">
        <v>587</v>
      </c>
      <c r="C7" s="9" t="s">
        <v>588</v>
      </c>
      <c r="D7" s="9" t="s">
        <v>589</v>
      </c>
      <c r="E7" s="9" t="inlineStr">
        <is>
          <t xml:space="preserve">M2 (29 September 2026): Still open until DEC-010 (#60) establishes the development, staging and production environment position and the parity evidence.
M1 baseline: Platform cold-start and idle behaviour, deployment mechanism, region and data residency, and whether a previous release can be restored quickly.</t>
        </is>
      </c>
      <c r="F7" s="9" t="s">
        <v>591</v>
      </c>
      <c r="G7" s="9" t="s">
        <v>592</v>
      </c>
    </row>
    <row r="8" customFormat="false" ht="115.62" hidden="false" customHeight="false" outlineLevel="0" collapsed="false">
      <c r="A8" s="10" t="s">
        <v>415</v>
      </c>
      <c r="B8" s="10" t="s">
        <v>593</v>
      </c>
      <c r="C8" s="10" t="s">
        <v>594</v>
      </c>
      <c r="D8" s="10" t="s">
        <v>595</v>
      </c>
      <c r="E8" s="10" t="inlineStr">
        <is>
          <t xml:space="preserve">M2 (29 September 2026): Answered for the M2 baseline by ADR-001 and ADR-007: reporting reads the transactional PostgreSQL store for now, with RSK-18 recording the risk. Reopened if the NFR-001 measurement under reporting load, or later volume and retention evidence, shows the shared store is no longer suitable.
M1 baseline: Expected request volume per month and the retention period, neither of which the organisation has yet supplied.</t>
        </is>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128.52" hidden="false" customHeight="false" outlineLevel="0" collapsed="false">
      <c r="A10" s="10" t="s">
        <v>697</v>
      </c>
      <c r="B10" s="10" t="s">
        <v>698</v>
      </c>
      <c r="C10" s="10" t="inlineStr">
        <is>
          <t xml:space="preserve">Decided (M2, ADR-002 under #91), conditional on gate 3 and the RSK-01 proof of concept
M1 baseline: DEFERRED to M2</t>
        </is>
      </c>
      <c r="D10" s="10" t="inlineStr">
        <is>
          <t xml:space="preserve">M2 (28 September 2026, ADR-002): ADR-002 answers the eight M1 evidence conditions. ADR-001 fixed the architecture both candidates had to satisfy, and A2 Task 2 assumed PostgreSQL for the FR-008 reference sequence.
M1 baseline: M1 is explicitly not a technology-selection milestone (M1 brief, s5), and the team does not yet hold the evidence to choose responsibly.</t>
        </is>
      </c>
      <c r="E10" s="10" t="inlineStr">
        <is>
          <t xml:space="preserve">M2 (28 September 2026, ADR-002): CON-02 schedule; CON-03 cost; CON-05 security; CON-06 capability; CON-07 BC Desktop availability; CON-08 two approvals. Drivers ASR-04 and ASR-05, with ASR-06 as a bound on complexity (#56).
M1 baseline: CON-06 capability; CON-07 platform availability; CON-03 cost; CON-05 security.</t>
        </is>
      </c>
      <c r="F10" s="10" t="inlineStr">
        <is>
          <t xml:space="preserve">M2 (28 September 2026, ADR-002): (a) Node.js 24 LTS, Express 5 and PostgreSQL through Prisma 7, with React 19 built with Vite. (b) Django 6.1 with PostgreSQL.
M1 baseline: Not yet evaluated. Candidate evaluation is an M2 activity.</t>
        </is>
      </c>
      <c r="G10" s="10" t="inlineStr">
        <is>
          <t xml:space="preserve">M2 (28 September 2026, ADR-002): Option (a) at exact pins: Express 5.2.1; Prisma CLI, client and PostgreSQL adapter 7.10.0; pg 8.23.0; argon2 0.45.1; node-cron 4.6.0; node:test; React 19.3.0 and Vite 8.3.0 with the first client work. Conditional: gate 3 on a BC Desktop machine and the RSK-01 proof of concept must pass before #90 merges.
M1 baseline: Deliberately not decided.</t>
        </is>
      </c>
      <c r="H10" s="10" t="inlineStr">
        <is>
          <t xml:space="preserve">M2 (28 September 2026, ADR-002): Both candidates passed the hard gates and the five measurable drivers came out level. RSK-12 (8) favoured (b), which needs fewer packages. RSK-01 (20) favoured (a), because its baselined mitigation prefers a stack in which at least two of three members have prior exposure, which (a) meets and (b) does not. RSK-01 decided it.
M1 baseline: Deciding now would rest on familiarity rather than evidence, which is the specific failure Master Brief s18.1 warns against.</t>
        </is>
      </c>
      <c r="I10" s="10" t="inlineStr">
        <is>
          <t xml:space="preserve">M2 (28 September 2026, ADR-002): Ten direct packages to justify and maintain against three or four. No built-in password hasher or migrations, supplied by argon2 and Prisma Migrate. The smaller dependency surface of (b) is given up, to be revisited if RSK-12 materialises.
M1 baseline: Deferral costs nothing while requirements are being baselined, because no baselined requirement in this document names a technology.</t>
        </is>
      </c>
      <c r="J10" s="10" t="inlineStr">
        <is>
          <t xml:space="preserve">M2 (28 September 2026, ADR-002): Two proposed under #68: Prisma version drift, and duplicate scheduled jobs if more than one instance runs node-cron. RSK-12 materialised on 28 September 2026 (Prisma issue #30295) and is re-scored in the Risk Register.
M1 baseline: Deferring past M2 would begin to constrain construction time. The decision point is the start of M2.</t>
        </is>
      </c>
      <c r="K10" s="10" t="inlineStr">
        <is>
          <t xml:space="preserve">M2 (28 September 2026, ADR-002): ADR-002 (#91). npm registry and PyPI metadata, the Node.js release schedule and Prisma issue #30295; team capability as reported by each member. Still required: gate 3 and the RSK-01 proof of concept.
M1 baseline: 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is>
      </c>
      <c r="L10" s="10" t="inlineStr">
        <is>
          <t xml:space="preserve">M2 (28 September 2026, ADR-002): DEC-010 (#60) must provide a Node 24 runtime and PostgreSQL, and run one instance while node-cron is used. Upgrading to Prisma 8 is a separate decision once it is stable. #90 merges only after both conditions.
M1 baseline: Determines construction, testing and deployment for the remainder of the project.</t>
        </is>
      </c>
    </row>
    <row r="11" customFormat="false" ht="140.2" hidden="false" customHeight="false" outlineLevel="0" collapsed="false">
      <c r="A11" s="9" t="s">
        <v>709</v>
      </c>
      <c r="B11" s="9" t="s">
        <v>710</v>
      </c>
      <c r="C11" s="9" t="inlineStr">
        <is>
          <t xml:space="preserve">Decided (M2, ADR-001)
M1 baseline: DEFERRED to M2</t>
        </is>
      </c>
      <c r="D11" s="9" t="inlineStr">
        <is>
          <t xml:space="preserve">M2 (23 September 2026, ADR-001): ADR-001 in docs/decisions records the context. The drivers in docs/architecture/asr-quality-drivers.md (#56) answer the first evidence condition: NFR-005, NFR-001, NFR-002, NFR-011, NFR-012, NFR-013 and NFR-003 proved architecturally significant, with CON-06 carried as a bound on complexity.
M1 baseline: Architecture must follow from the architecturally significant requirements, and those are only being baselined in this document.</t>
        </is>
      </c>
      <c r="E11" s="9" t="inlineStr">
        <is>
          <t xml:space="preserve">M2 (23 September 2026, ADR-001): Drivers ASR-01 to ASR-06 (#56), which carry NFR-001, NFR-002, NFR-003, NFR-005, NFR-011, NFR-012 and NFR-013. Constraints CON-02 schedule; CON-03 cost; CON-06 capability; CON-07 platform availability; CON-08 governance.
M1 baseline: NFR-001 performance; NFR-003 availability; NFR-005 authorisation; NFR-012 maintainability; CON-06 capability.</t>
        </is>
      </c>
      <c r="F11" s="9" t="inlineStr">
        <is>
          <t xml:space="preserve">M2 (23 September 2026, ADR-001): (a) Modular monolith: one deployable application in modules with explicit interfaces over one relational store. (b) Service per capability. (c) Function per operation. (d) Client application over a hosted data service.
M1 baseline: Not yet evaluated.</t>
        </is>
      </c>
      <c r="G11" s="9" t="inlineStr">
        <is>
          <t xml:space="preserve">M2 (23 September 2026, ADR-001): Option (a), with reporting reading the transactional store for now. Five boundary rules: one server-side entry point; authorisation and read scope decided in the policy module; a status change and its audit entry written in one transaction; notification through an in-process interface; module dependencies through declared interfaces only.
M1 baseline: Deliberately not decided.</t>
        </is>
      </c>
      <c r="H11" s="9" t="inlineStr">
        <is>
          <t xml:space="preserve">M2 (23 September 2026, ADR-001): ASR-01, ASR-03 and ASR-04 favour one enforcement point, one write path and one testable surface, which are cheaper to hold inside a process boundary. ASR-05 and ASR-06 penalise every additional deployable unit, in free-tier quota and in learning time. No baselined requirement asks for independent deployment, independent scaling or a second consumer of the data, so the evidence for (b), (c) and (d) is absent.
M1 baseline: The quality attributes that should drive the choice are baselined here for the first time. Choosing before they were agreed would invert the dependency.</t>
        </is>
      </c>
      <c r="I11" s="9" t="inlineStr">
        <is>
          <t xml:space="preserve">M2 (23 September 2026, ADR-001): Module boundaries inside one process can erode, and review is the control until #67 adds a dependency check. One deployable unit is a single point of failure, accepted against NFR-003's 98 percent within published service hours. Reporting shares the transactional store while volume and retention are unknown (FEC-06). Scaling is whole-application scaling.
M1 baseline: None while requirements work continues.</t>
        </is>
      </c>
      <c r="J11" s="9" t="inlineStr">
        <is>
          <t xml:space="preserve">M2 (23 September 2026, ADR-001): Two risks proposed to the Risk Register under #68: module boundaries eroding under schedule pressure (related to RSK-01 and CON-02), and reporting growth degrading the staff queue before it is measured (FEC-06, related to NFR-001 and RSK-09). DEC-008 (#59) and DEC-010 (#60) are taken against this decision, which answers the M1 risk below.
M1 baseline: The choice interacts with DEC-008 and DEC-010; deciding any one in isolation constrains the other two.</t>
        </is>
      </c>
      <c r="K11" s="9" t="inlineStr">
        <is>
          <t xml:space="preserve">M2 (23 September 2026, ADR-001): ADR-001, approved under #72; drivers in docs/architecture/asr-quality-drivers.md (#56); module and deployment views in docs/architecture/diagrams. ADR-001 answers the three M1 conditions: the significant NFRs are identified; FEC-01 is partly answered, with scope held in the policy module; FEC-06 is answered for now, with the conditions for revisiting it recorded.
M1 baseline: Evidence still required: which NFRs prove architecturally significant; the record-level authorisation shape from FEC-01; the reporting load position from FEC-06.</t>
        </is>
      </c>
      <c r="L11" s="9" t="inlineStr">
        <is>
          <t xml:space="preserve">M2 (23 September 2026, ADR-001): Input to DEC-011 (#58), DEC-008 (#59), DEC-010 (#60) and design decisions #61 and #62. Reporting's use of the transactional store is revisited on the NFR-001 measurement or when volume and retention arrive under #2.
M1 baseline: Sets the structure that maintainability and change cost depend on for the rest of the project.</t>
        </is>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128.52" hidden="false" customHeight="false" outlineLevel="0" collapsed="false">
      <c r="A13" s="9" t="s">
        <v>728</v>
      </c>
      <c r="B13" s="9" t="s">
        <v>729</v>
      </c>
      <c r="C13" s="9" t="inlineStr">
        <is>
          <t xml:space="preserve">Proposed (M2, ADR-007 under review in #97)
M1 baseline: DEFERRED to M2</t>
        </is>
      </c>
      <c r="D13" s="9" t="inlineStr">
        <is>
          <t xml:space="preserve">M2 (28 September 2026, ADR-007, proposed): ADR-007 designs the data model for FR-005 to FR-009, FR-012 and FR-025 over the one relational store ADR-001 fixed, carrying the A2 Task 2 findings on reference generation, transactions and validation.
M1 baseline: The data model must express FR-012 record isolation, FR-025 audit immutability and the FEC-01 authorisation scope, which are baselined here but not yet designed.</t>
        </is>
      </c>
      <c r="E13" s="9" t="inlineStr">
        <is>
          <t xml:space="preserve">M2 (28 September 2026, ADR-007, proposed): CON-05 security; NFR-001 performance; NFR-011 auditability. Drivers ASR-01, ASR-02 and ASR-03 (#56).
M1 baseline: CON-05 security; NFR-001 performance; NFR-011 auditability.</t>
        </is>
      </c>
      <c r="F13" s="9" t="inlineStr">
        <is>
          <t xml:space="preserve">M2 (28 September 2026, ADR-007, proposed): ADR-001 and DEC-008 already fix one relational PostgreSQL store, so ADR-007 justifies the relational model and records no alternative store. Within it, a database sequence for the reference against reading the current maximum (A2 Task 2).
M1 baseline: Not yet evaluated.</t>
        </is>
      </c>
      <c r="G13" s="9" t="inlineStr">
        <is>
          <t xml:space="preserve">M2 (28 September 2026, ADR-007, proposed): PostgreSQL as the system of record, with User, Category, UserCategory, Request, RequestStatusHistory and AuditEntry. References from a database sequence with a unique constraint. Creation and each status change in one transaction. Validation in the interface, service and database. Users and categories deactivated, not deleted.
M1 baseline: Deliberately not decided.</t>
        </is>
      </c>
      <c r="H13" s="9" t="inlineStr">
        <is>
          <t xml:space="preserve">M2 (28 September 2026, ADR-007, proposed): The data is strongly related, and the main reads filter by requester, category, status, assignee and date, which foreign keys, constraints, indexes and transactions serve directly. Field names match the scope conditions in ADR-006.
M1 baseline: Schema design is explicitly outside M1 (M1 brief, s5). The requirements it must satisfy are inside M1, and are recorded here.</t>
        </is>
      </c>
      <c r="I13" s="9" t="inlineStr">
        <is>
          <t xml:space="preserve">M2 (28 September 2026, ADR-007, proposed): Reference numbers can have gaps after a failed transaction. Reporting shares the transactional store (FEC-06). Status is held on the Request and in its history. Relational schema changes are more controlled.
M1 baseline: None while requirements work continues.</t>
        </is>
      </c>
      <c r="J13" s="9" t="inlineStr">
        <is>
          <t xml:space="preserve">M2 (28 September 2026, ADR-007, proposed): Four in ADR-007, proposed under #68: reporting load on the queue, a query bypassing the authorisation scope, audit or history inconsistent with request state, and a backup that cannot restore.
M1 baseline: This is the longest-lived commitment in the system, because data outlives the application. FEC-01, FEC-02 and FEC-06 all constrain it.</t>
        </is>
      </c>
      <c r="K13" s="9" t="inlineStr">
        <is>
          <t xml:space="preserve">M2 (28 September 2026, ADR-007, proposed): ADR-007 and docs/data/initial-schema.sql (#97). Review on #97 requested the FR-005 location and urgency fields, action entries (FR-017), previous and new values (FR-025), and which of the SQL and the Prisma schema is authoritative.
M1 baseline: Evidence still required: the outcome of DEC-008; expected volume and retention from the organisation (FEC-06); the final record-level scope decision (FEC-01).</t>
        </is>
      </c>
      <c r="L13" s="9" t="inlineStr">
        <is>
          <t xml:space="preserve">M2 (28 September 2026, ADR-007, proposed): #65 implements against it. DEC-010 supplies hosting, backup and restore. FEC-06 or the NFR-001 measurement reopens the reporting path.
M1 baseline: Constrains every later change to reporting, authorisation and migration.</t>
        </is>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row r="15" customFormat="false" ht="58.42" hidden="false" customHeight="false" outlineLevel="0" collapsed="false">
      <c r="A15" s="9" t="inlineStr">
        <is>
          <t xml:space="preserve">DEC-013</t>
        </is>
      </c>
      <c r="B15" s="9" t="inlineStr">
        <is>
          <t xml:space="preserve">Status transition mechanism (design decision 1)</t>
        </is>
      </c>
      <c r="C15" s="9" t="inlineStr">
        <is>
          <t xml:space="preserve">Decided (M2, ADR-005)</t>
        </is>
      </c>
      <c r="D15" s="9" t="inlineStr">
        <is>
          <t xml:space="preserve">The Status Model permits twelve transitions between seven statuses, each with authorised roles and a guard. The service, the interface and the tests need the same rules, and RSK-09 expects the model to change.</t>
        </is>
      </c>
      <c r="E15" s="9" t="inlineStr">
        <is>
          <t xml:space="preserve">FR-016 refuses every transition outside the model; RSK-09 and FEC-02; ADR-001 rules 2 and 3. Driver ASR-03 (#56).</t>
        </is>
      </c>
      <c r="F15" s="9" t="inlineStr">
        <is>
          <t xml:space="preserve">(a) Conditional logic in the service. (b) The State pattern, a class per status. (c) A declarative transition table with Strategy guards (A2 Task 1).</t>
        </is>
      </c>
      <c r="G15" s="9" t="inlineStr">
        <is>
          <t xml:space="preserve">Option (c), held as frozen data in code in src/modules/workflow-status. A move outside the model is refused first, then authority is checked through the policy passed in as a function, then the guard.</t>
        </is>
      </c>
      <c r="H15" s="9" t="inlineStr">
        <is>
          <t xml:space="preserve">The variation is tabular, so the table matches the Status Model register row for row and is tested against a fixture exported from it. A change to the model is one edited entry and a re-exported fixture.</t>
        </is>
      </c>
      <c r="I15" s="9" t="inlineStr">
        <is>
          <t xml:space="preserve">Guards could grow into a rules language, so they stay small and in code. The fixture has to be re-exported whenever the register changes.</t>
        </is>
      </c>
      <c r="J15" s="9" t="inlineStr">
        <is>
          <t xml:space="preserve">One proposed under #68: the table and the register drift apart if the register changes without the fixture being re-exported (related to RSK-09).</t>
        </is>
      </c>
      <c r="K15" s="9" t="inlineStr">
        <is>
          <t xml:space="preserve">ADR-005 (#93, merged 29 September 2026). tests/workflow-status.test.js: 196 combinations of status pair and role; three deliberate faults each failed the suite.</t>
        </is>
      </c>
      <c r="L15" s="9" t="inlineStr">
        <is>
          <t xml:space="preserve">#65 wires the service and writes the audit entry in the same transaction (ADR-001 rule 3).</t>
        </is>
      </c>
    </row>
    <row r="16" customFormat="false" ht="58.42" hidden="false" customHeight="false" outlineLevel="0" collapsed="false">
      <c r="A16" s="10" t="inlineStr">
        <is>
          <t xml:space="preserve">DEC-014</t>
        </is>
      </c>
      <c r="B16" s="10" t="inlineStr">
        <is>
          <t xml:space="preserve">Authorisation enforcement (design decision 2)</t>
        </is>
      </c>
      <c r="C16" s="10" t="inlineStr">
        <is>
          <t xml:space="preserve">Decided (M2, ADR-006)</t>
        </is>
      </c>
      <c r="D16" s="10" t="inlineStr">
        <is>
          <t xml:space="preserve">Authorisation has a role dimension and a record dimension. NFR-005 is absolute, so one forgotten check is a breach, and NFR-001 rules out loading every request and filtering afterwards.</t>
        </is>
      </c>
      <c r="E16" s="10" t="inlineStr">
        <is>
          <t xml:space="preserve">NFR-005, FR-002, FR-011 to FR-013, NFR-001; ADR-001 rule 2; FEC-01. Driver ASR-01 (#56).</t>
        </is>
      </c>
      <c r="F16" s="10" t="inlineStr">
        <is>
          <t xml:space="preserve">(a) Checks written inline in each handler. (b) A central policy component. (c) Authorisation applied at the query (A2 Task 1).</t>
        </is>
      </c>
      <c r="G16" s="10" t="inlineStr">
        <is>
          <t xml:space="preserve">(c) for reads and (b) for actions, both produced by one policy module, src/modules/authorisation-policy. Scopes are Specifications that yield both the query condition and the check on a single request.</t>
        </is>
      </c>
      <c r="H16" s="10" t="inlineStr">
        <is>
          <t xml:space="preserve">Each option covers what the other handles poorly, and one module keeps every authorisation decision in one place under ADR-001 rule 2. NFR-005 becomes testable cell by cell against the register.</t>
        </is>
      </c>
      <c r="I16" s="10" t="inlineStr">
        <is>
          <t xml:space="preserve">A query that does not use the scope bypasses it. Until a check enforces this, it rests on review and the M3 negative tests at the endpoints.</t>
        </is>
      </c>
      <c r="J16" s="10" t="inlineStr">
        <is>
          <t xml:space="preserve">One proposed under #68: an unscoped query leaks records (related to RSK-05 and FEC-01). Four Access Matrix cells conflict with the requirements; the policy denies them and CR-002 (#92) takes them to change control.</t>
        </is>
      </c>
      <c r="K16" s="10" t="inlineStr">
        <is>
          <t xml:space="preserve">ADR-006 (#94, merged 29 September 2026). tests/authorisation-policy.test.js: all sixty Access Matrix cells; four deliberate faults each failed the suite.</t>
        </is>
      </c>
      <c r="L16" s="10" t="inlineStr">
        <is>
          <t xml:space="preserve">If FEC-01 changes staff scope, only the policy module changes. #65 applies the scope to every request query.</t>
        </is>
      </c>
    </row>
    <row r="17" customFormat="false" ht="35.05" hidden="false" customHeight="false" outlineLevel="0" collapsed="false">
      <c r="A17" s="9" t="inlineStr">
        <is>
          <t xml:space="preserve">DEC-015</t>
        </is>
      </c>
      <c r="B17" s="9" t="inlineStr">
        <is>
          <t xml:space="preserve">Request status notification interface</t>
        </is>
      </c>
      <c r="C17" s="9" t="inlineStr">
        <is>
          <t xml:space="preserve">Proposed (M2, ADR-008 under review in #98)</t>
        </is>
      </c>
      <c r="D17" s="9" t="inlineStr">
        <is>
          <t xml:space="preserve">FR-029 requires an in-application indication. DEC-005 keeps other channels out of scope, and ADR-001 rule 4 requires an in-process interface with an extension point.</t>
        </is>
      </c>
      <c r="E17" s="9" t="inlineStr">
        <is>
          <t xml:space="preserve">FR-029; DEC-005; SC-D-01; FEC-03; ADR-001 rule 4.</t>
        </is>
      </c>
      <c r="F17" s="9" t="inlineStr">
        <is>
          <t xml:space="preserve">(a) An in-process interface. (b) An HTTP API between the modules. (c) A message broker or a separate notification service.</t>
        </is>
      </c>
      <c r="G17" s="9" t="inlineStr">
        <is>
          <t xml:space="preserve">Option (a): the workflow calls the notification interface after a status change commits. Email and SMS stay deferred under SC-D-01.</t>
        </is>
      </c>
      <c r="H17" s="9" t="inlineStr">
        <is>
          <t xml:space="preserve">Both ends are modules in one process, so a network boundary or a broker would add failure handling and deployment work without a requirement for it.</t>
        </is>
      </c>
      <c r="I17" s="9" t="inlineStr">
        <is>
          <t xml:space="preserve">No independent scaling and no durable asynchronous delivery. A window in which a status change commits and the notification fails.</t>
        </is>
      </c>
      <c r="J17" s="9" t="inlineStr">
        <is>
          <t xml:space="preserve">Five in ADR-008, proposed under #68.</t>
        </is>
      </c>
      <c r="K17" s="9" t="inlineStr">
        <is>
          <t xml:space="preserve">ADR-008 (#98). Review on #98 requested which FR-029 events produce an indication, and where the indication is stored.</t>
        </is>
      </c>
      <c r="L17" s="9" t="inlineStr">
        <is>
          <t xml:space="preserve">SC-D-01 reopens on the conditions ADR-008 lists. An asynchronous adapter would need its own decision.</t>
        </is>
      </c>
    </row>
  </sheetData>
  <autoFilter ref="A2:L17"/>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9" t="s">
        <v>1013</v>
      </c>
      <c r="B4" s="9" t="s">
        <v>1014</v>
      </c>
      <c r="C4" s="9" t="s">
        <v>1015</v>
      </c>
      <c r="D4" s="9" t="s">
        <v>1016</v>
      </c>
      <c r="E4" s="9" t="s">
        <v>1017</v>
      </c>
      <c r="F4" s="9" t="s">
        <v>1018</v>
      </c>
      <c r="G4" s="9" t="s">
        <v>1019</v>
      </c>
      <c r="H4" s="9" t="s">
        <v>1020</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row r="9" customFormat="false" ht="107.1" hidden="false" customHeight="false" outlineLevel="0" collapsed="false">
      <c r="A9" s="9" t="inlineStr">
        <is>
          <t xml:space="preserve">15 September 2026</t>
        </is>
      </c>
      <c r="B9" s="9" t="inlineStr">
        <is>
          <t xml:space="preserve">Jean Smit</t>
        </is>
      </c>
      <c r="C9" s="9" t="inlineStr">
        <is>
          <t xml:space="preserve">Claude (Anthropic), Claude Code</t>
        </is>
      </c>
      <c r="D9" s="9" t="inlineStr">
        <is>
          <t xml:space="preserve">A2 Task 1: design problems and pattern comparison</t>
        </is>
      </c>
      <c r="E9" s="9" t="inlineStr">
        <is>
          <t xml:space="preserve">Drafted the problem framing from the requirements register, the comparison of candidate approaches, and the recommendations</t>
        </is>
      </c>
      <c r="F9" s="9" t="inlineStr">
        <is>
          <t xml:space="preserve">Citations reconciled against the reference list in both directions; web sources fetched and checked against the claims attributed to them; claims cited to Martin, Meyer, Evans and Fowler checked against the authors' own published articles and catalogue pages; book and journal details checked against publisher and Crossref records; Parnas (1972) checked against the published paper; Gamma et al. (1994) checked for publication details only, because no copy of the text was available</t>
        </is>
      </c>
      <c r="G9" s="9" t="inlineStr">
        <is>
          <t xml:space="preserve">Accepted after revision</t>
        </is>
      </c>
      <c r="H9" s="9" t="inlineStr">
        <is>
          <t xml:space="preserve">An attribution to the OWASP Authorization Cheat Sheet was corrected before inclusion. The sheet recommends centralising the handling of failed checks, which is a different claim from centralising the authorisation decision. Book years were cited under two different rules; they were standardised to the publication date, which changed Martin from 2003 to 2002. The paraphrase of Parnas (1972) went beyond the paper and was tightened to match its wording.</t>
        </is>
      </c>
    </row>
    <row r="10" customFormat="false" ht="59.5" hidden="false" customHeight="false" outlineLevel="0" collapsed="false">
      <c r="A10" s="9" t="inlineStr">
        <is>
          <t xml:space="preserve">15 September 2026</t>
        </is>
      </c>
      <c r="B10" s="9" t="inlineStr">
        <is>
          <t xml:space="preserve">Jean Smit</t>
        </is>
      </c>
      <c r="C10" s="9" t="inlineStr">
        <is>
          <t xml:space="preserve">Claude (Anthropic), Claude Code</t>
        </is>
      </c>
      <c r="D10" s="9" t="inlineStr">
        <is>
          <t xml:space="preserve">A2 Task 4, sections 4.1 and 4.3: configuration management and collaborative integration</t>
        </is>
      </c>
      <c r="E10" s="9" t="inlineStr">
        <is>
          <t xml:space="preserve">Drafted the configuration management research, gathered repository evidence, compared controls for binary artefacts, and drafted the recommendations</t>
        </is>
      </c>
      <c r="F10" s="9" t="inlineStr">
        <is>
          <t xml:space="preserve">Repository statistics measured directly from GitHub and git; web sources fetched and checked against the claims attributed to them; citations reconciled in both directions; Bacchelli and Bird (2013) checked against the paper; cited Master Project Brief sections read directly</t>
        </is>
      </c>
      <c r="G10" s="9" t="inlineStr">
        <is>
          <t xml:space="preserve">Accepted after revision</t>
        </is>
      </c>
      <c r="H10" s="9" t="inlineStr">
        <is>
          <t xml:space="preserve">A paraphrase of Bacchelli and Bird (2013) overstated the paper and was corrected to match its abstract. A claim that PED s12.4 governs format changes was corrected, because s12.4 covers only scope, requirements and the status model.</t>
        </is>
      </c>
    </row>
    <row r="11" customFormat="false" ht="59.5" hidden="false" customHeight="false" outlineLevel="0" collapsed="false">
      <c r="A11" s="9" t="inlineStr">
        <is>
          <t xml:space="preserve">15 September 2026</t>
        </is>
      </c>
      <c r="B11" s="9" t="inlineStr">
        <is>
          <t xml:space="preserve">Jean Smit</t>
        </is>
      </c>
      <c r="C11" s="9" t="inlineStr">
        <is>
          <t xml:space="preserve">Claude (Anthropic), Claude Code</t>
        </is>
      </c>
      <c r="D11" s="9" t="inlineStr">
        <is>
          <t xml:space="preserve">A2 Task 5 research-to-decision map and report assembly</t>
        </is>
      </c>
      <c r="E11" s="9" t="inlineStr">
        <is>
          <t xml:space="preserve">Drafted the Task 5 rows from each section's findings, merged the sections into one report, consolidated the references and built the Word document</t>
        </is>
      </c>
      <c r="F11" s="9" t="inlineStr">
        <is>
          <t xml:space="preserve">Each map row checked against the section it summarises; every decision and requirement identifier checked against the M1 registers workbook; the merged report's citations reconciled against the consolidated reference list in both directions; the built document rendered to PDF and checked page by page</t>
        </is>
      </c>
      <c r="G11" s="9" t="inlineStr">
        <is>
          <t xml:space="preserve">Accepted after revision</t>
        </is>
      </c>
      <c r="H11" s="9" t="inlineStr">
        <is>
          <t xml:space="preserve">Two OWASP cheat sheets in different sections were both cited as undated OWASP sources with no letter to tell them apart, and the Master Project Brief was lettered 2026a with no 2026b; both were corrected when the reference lists were merged.</t>
        </is>
      </c>
    </row>
    <row r="12" customFormat="false" ht="142.8" hidden="false" customHeight="false" outlineLevel="0" collapsed="false">
      <c r="A12" s="9" t="inlineStr">
        <is>
          <t xml:space="preserve">15 September 2026</t>
        </is>
      </c>
      <c r="B12" s="9" t="inlineStr">
        <is>
          <t xml:space="preserve">Jean Smit</t>
        </is>
      </c>
      <c r="C12" s="9" t="inlineStr">
        <is>
          <t xml:space="preserve">Claude (Anthropic), Claude Code</t>
        </is>
      </c>
      <c r="D12" s="9" t="inlineStr">
        <is>
          <t xml:space="preserve">A2 review and typesetting of Task 4, section 4.2 (Darius Mushi)</t>
        </is>
      </c>
      <c r="E12" s="9" t="inlineStr">
        <is>
          <t xml:space="preserve">Checked the section against every cited source, register entry, pull request and commit it relies on; typeset it; corrected citations and register references; removed two paragraphs outside the section's topic; made light wording edits</t>
        </is>
      </c>
      <c r="F12" s="9" t="inlineStr">
        <is>
          <t xml:space="preserve">Every cited page fetched and each attributed claim searched for in it; the arXiv authors and version checked on arXiv; the PR #18 and PR #25 claims checked against the review records and commit history; every identifier checked against the M1 registers workbook; Master Project Brief s9 read directly; citations reconciled in both directions; a change list prepared for the author</t>
        </is>
      </c>
      <c r="G12" s="9" t="inlineStr">
        <is>
          <t xml:space="preserve">Accepted after revision; every change is listed for the author</t>
        </is>
      </c>
      <c r="H12" s="9" t="inlineStr">
        <is>
          <t xml:space="preserve">The arXiv paper was attributed to Wang et al. and is by Yang et al.; its 16% and 1% figures come from earlier studies and became secondary citations. A recommendation to scan every push was attributed to the OWASP cheat sheet and comes from CICD-SEC-6, which was dated 2025 and whose link no longer resolved; it is now dated 2022 and linked to OWASP's own copy. References to DEC-008 and RSK-08 did not match the register and were corrected. One paragraph contained what reads as pasted assistant output; it and the paragraph before it were outside the section's topic and were removed.</t>
        </is>
      </c>
    </row>
    <row r="13" customFormat="false" ht="95.2" hidden="false" customHeight="false" outlineLevel="0" collapsed="false">
      <c r="A13" s="9" t="inlineStr">
        <is>
          <t xml:space="preserve">15 September 2026</t>
        </is>
      </c>
      <c r="B13" s="9" t="inlineStr">
        <is>
          <t xml:space="preserve">Tristan Roets</t>
        </is>
      </c>
      <c r="C13" s="9" t="inlineStr">
        <is>
          <t xml:space="preserve">ChatGPT (OpenAI, GPT-5.6 Sol)</t>
        </is>
      </c>
      <c r="D13" s="9" t="inlineStr">
        <is>
          <t xml:space="preserve">Researching and drafting Assignment 2 Task 2 and Task 3.</t>
        </is>
      </c>
      <c r="E13" s="9" t="inlineStr">
        <is>
          <t xml:space="preserve">Assisted with structuring the sections, comparing alternatives, drafting, and identifying authoritative sources.</t>
        </is>
      </c>
      <c r="F13" s="9" t="inlineStr">
        <is>
          <t xml:space="preserve">PostgreSQL claims were checked against PostgreSQL documentation; REST/HTTP claims against Microsoft Learn and MDN; messaging claims against Microsoft Azure Architecture Center; CivicConnect-specific identifiers against the team's A2 notes and M1 evidence.</t>
        </is>
      </c>
      <c r="G13" s="9" t="inlineStr">
        <is>
          <t xml:space="preserve">Accepted after revision</t>
        </is>
      </c>
      <c r="H13" s="9" t="inlineStr">
        <is>
          <t xml:space="preserve">The first draft linked NFR-002 to possible duplicate resubmission without addressing duplicate prevention, so that sentence was removed. The REST section initially omitted explicit resource and error handling discussion, so this was added from the Microsoft API-design source. DEC-009 was also added to the Task 3 recommendation because the in-process versus separate-service choice affects architecture.</t>
        </is>
      </c>
    </row>
    <row r="14" customFormat="false" ht="71.4" hidden="false" customHeight="false" outlineLevel="0" collapsed="false">
      <c r="A14" s="9" t="inlineStr">
        <is>
          <t xml:space="preserve">21 September 2026</t>
        </is>
      </c>
      <c r="B14" s="9" t="inlineStr">
        <is>
          <t xml:space="preserve">Jean Smit</t>
        </is>
      </c>
      <c r="C14" s="9" t="inlineStr">
        <is>
          <t xml:space="preserve">Claude (Anthropic), through Claude Code</t>
        </is>
      </c>
      <c r="D14" s="9" t="inlineStr">
        <is>
          <t xml:space="preserve">A3 Question 2: structuring the research, drafting the threat chains and the traceability table, and finding sources</t>
        </is>
      </c>
      <c r="E14" s="9" t="inlineStr">
        <is>
          <t xml:space="preserve">Structured the research, drafted the threat chains and the traceability table, and found sources</t>
        </is>
      </c>
      <c r="F14" s="9" t="inlineStr">
        <is>
          <t xml:space="preserve">Every cited page opened and each attributed claim found in it; the figures from Pearce et al. (2022) and Perry et al. (2023) read in the papers themselves; every reference link returned its page on 21 September 2026; citations reconciled with the reference list in both directions</t>
        </is>
      </c>
      <c r="G14" s="9" t="inlineStr">
        <is>
          <t xml:space="preserve">Accepted after revision</t>
        </is>
      </c>
      <c r="H14" s="9" t="inlineStr">
        <is>
          <t xml:space="preserve">Two studies cited through Yang et al. (2026) were split across a semicolon and read as uncited sources, so the citation was rewritten to show that both are cited through Yang. The Microsoft threat modelling page is cited as 2017, the date the page states.</t>
        </is>
      </c>
    </row>
    <row r="15" customFormat="false" ht="154.7" hidden="false" customHeight="false" outlineLevel="0" collapsed="false">
      <c r="A15" s="9" t="inlineStr">
        <is>
          <t xml:space="preserve">21 September 2026</t>
        </is>
      </c>
      <c r="B15" s="9" t="inlineStr">
        <is>
          <t xml:space="preserve">Jean Smit</t>
        </is>
      </c>
      <c r="C15" s="9" t="inlineStr">
        <is>
          <t xml:space="preserve">Claude (Anthropic), through Claude Code</t>
        </is>
      </c>
      <c r="D15" s="9" t="inlineStr">
        <is>
          <t xml:space="preserve">A3 Question 4 and assembly (21, 22 and 28 September 2026)</t>
        </is>
      </c>
      <c r="E15" s="9" t="inlineStr">
        <is>
          <t xml:space="preserve">Drafted the map from Questions 1 to 3 and the registers, checked the sources of Questions 1 and 3, merged the sections, consolidated the references and built the document</t>
        </is>
      </c>
      <c r="F15" s="9" t="inlineStr">
        <is>
          <t xml:space="preserve">Every source cited in Questions 1 and 3 opened on 28 September 2026 and its date checked against the page; the Dijkstra (1972) point in Question 1 checked against the published text of the lecture; each map row checked against the question it summarises; every project identifier checked against the M1 registers workbook; citations reconciled in both directions across the document; the built document rendered and checked page by page</t>
        </is>
      </c>
      <c r="G15" s="9" t="inlineStr">
        <is>
          <t xml:space="preserve">Accepted after revision</t>
        </is>
      </c>
      <c r="H15" s="9" t="inlineStr">
        <is>
          <t xml:space="preserve">The ISTQB link in Question 1 opened no entry, and the sentence citing it attributed more to the definition than it states, so the link was corrected and the citation narrowed to the definition. The NIST DOI in Question 3 did not resolve and was corrected. One Microsoft page is dated 2025 on the page itself, so the Microsoft letters were reassigned. The OWASP Secrets Management Cheat Sheet was cited under two names and dates and now has one entry. The claims Question 1 attributes to ISO/IEC/IEEE 29119-1 could not be checked against the standard, which is not freely available, and stand as the author stated them.</t>
        </is>
      </c>
    </row>
    <row r="16" customFormat="false" ht="71.4" hidden="false" customHeight="false" outlineLevel="0" collapsed="false">
      <c r="A16" s="9" t="inlineStr">
        <is>
          <t xml:space="preserve">23 September 2026</t>
        </is>
      </c>
      <c r="B16" s="9" t="inlineStr">
        <is>
          <t xml:space="preserve">Jean Smit</t>
        </is>
      </c>
      <c r="C16" s="9" t="inlineStr">
        <is>
          <t xml:space="preserve">Claude Code (Anthropic)</t>
        </is>
      </c>
      <c r="D16" s="9" t="inlineStr">
        <is>
          <t xml:space="preserve">Finalising ADR-002 (DEC-008) from Darius Mushi's three drafts, at his request, and amending it after review on #91 (28 September 2026)</t>
        </is>
      </c>
      <c r="E16" s="9" t="inlineStr">
        <is>
          <t xml:space="preserve">Fact-checked the drafts against the registers and #56, checked each version, release date and licence, and drafted the finalised record and its amendments</t>
        </is>
      </c>
      <c r="F16" s="9" t="inlineStr">
        <is>
          <t xml:space="preserve">Versions, release dates and licences checked against the npm registry and PyPI on 23 September 2026; the Node.js release schedule and Prisma issue #30295 read directly; each member's account of their experience confirmed with them before it was recorded; the record reviewed by Darius Mushi on #91</t>
        </is>
      </c>
      <c r="G16" s="9" t="inlineStr">
        <is>
          <t xml:space="preserve">Accepted after revision</t>
        </is>
      </c>
      <c r="H16" s="9" t="inlineStr">
        <is>
          <t xml:space="preserve">The author's own Node.js experience was first recorded as tooling only, from an earlier note, and was corrected once confirmed as backend Node and Express. The first pull request description credited findings from the author's review to Darius Mushi; his review on #91 caught it and it was corrected.</t>
        </is>
      </c>
    </row>
    <row r="17" customFormat="false" ht="71.4" hidden="false" customHeight="false" outlineLevel="0" collapsed="false">
      <c r="A17" s="9" t="inlineStr">
        <is>
          <t xml:space="preserve">23 September 2026</t>
        </is>
      </c>
      <c r="B17" s="9" t="inlineStr">
        <is>
          <t xml:space="preserve">Jean Smit</t>
        </is>
      </c>
      <c r="C17" s="9" t="inlineStr">
        <is>
          <t xml:space="preserve">Claude Code (Anthropic)</t>
        </is>
      </c>
      <c r="D17" s="9" t="inlineStr">
        <is>
          <t xml:space="preserve">Moving the PED source to markdown with a Word build in the v1.0 house style (#55, CR-001)</t>
        </is>
      </c>
      <c r="E17" s="9" t="inlineStr">
        <is>
          <t xml:space="preserve">Wrote the conversion, the fidelity check and the build scripts, and the README</t>
        </is>
      </c>
      <c r="F17" s="9" t="inlineStr">
        <is>
          <t xml:space="preserve">The fidelity check converted the markdown back to Word and compared it with v1.0: 1504 blocks, no differences, 18,169 identical words. v1.0 was rebuilt from the markdown and its 48 content pages compared with v1.0 as rendered PDF pages</t>
        </is>
      </c>
      <c r="G17" s="9" t="inlineStr">
        <is>
          <t xml:space="preserve">Accepted after revision</t>
        </is>
      </c>
      <c r="H17" s="9" t="inlineStr">
        <is>
          <t xml:space="preserve">Page comparison found build defects that were fixed before the pull request: numbered paragraphs losing their numbering, new tables wider than the page, lost bold in headings and table headers, redundant page breaks that produced blank pages, landscape margins, and Word compatibility mode.</t>
        </is>
      </c>
    </row>
    <row r="18" customFormat="false" ht="59.5" hidden="false" customHeight="false" outlineLevel="0" collapsed="false">
      <c r="A18" s="9" t="inlineStr">
        <is>
          <t xml:space="preserve">28 September 2026</t>
        </is>
      </c>
      <c r="B18" s="9" t="inlineStr">
        <is>
          <t xml:space="preserve">Jean Smit</t>
        </is>
      </c>
      <c r="C18" s="9" t="inlineStr">
        <is>
          <t xml:space="preserve">Claude Code (Anthropic)</t>
        </is>
      </c>
      <c r="D18" s="9" t="inlineStr">
        <is>
          <t xml:space="preserve">Design decisions 1 and 2: ADR-005 and ADR-006 with their code and tests (#61, #62, #93, #94)</t>
        </is>
      </c>
      <c r="E18" s="9" t="inlineStr">
        <is>
          <t xml:space="preserve">Drafted both records from A2 Task 1, wrote the transition table, the policy module and their tests, and exported the fixtures from the registers</t>
        </is>
      </c>
      <c r="F18" s="9" t="inlineStr">
        <is>
          <t xml:space="preserve">Tests generated from fixtures exported from the Status Model and Access Matrix sheets; deliberate faults introduced one at a time, three in the table and four in the policy, each failed the suite; both reviewed and approved by Darius Mushi and Tristan Roets</t>
        </is>
      </c>
      <c r="G18" s="9" t="inlineStr">
        <is>
          <t xml:space="preserve">Accepted after revision</t>
        </is>
      </c>
      <c r="H18" s="9" t="inlineStr">
        <is>
          <t xml:space="preserve">The tests exposed four Access Matrix cells that grant what FR-015, FR-016, FR-020 and FR-021 refuse, raised as #92 and CR-002. A risk cited as RSK-11 was RSK-05, and a Decision Log number claimed before it was assigned was removed.</t>
        </is>
      </c>
    </row>
    <row r="19" customFormat="false" ht="47.6" hidden="false" customHeight="false" outlineLevel="0" collapsed="false">
      <c r="A19" s="9" t="inlineStr">
        <is>
          <t xml:space="preserve">28 September 2026</t>
        </is>
      </c>
      <c r="B19" s="9" t="inlineStr">
        <is>
          <t xml:space="preserve">Jean Smit</t>
        </is>
      </c>
      <c r="C19" s="9" t="inlineStr">
        <is>
          <t xml:space="preserve">Claude Code (Anthropic)</t>
        </is>
      </c>
      <c r="D19" s="9" t="inlineStr">
        <is>
          <t xml:space="preserve">PED v2.0, sections 18 to 26 (#95)</t>
        </is>
      </c>
      <c r="E19" s="9" t="inlineStr">
        <is>
          <t xml:space="preserve">Drafted the M2 sections from the ADRs and pull requests, and the reading notes in the M1 sections</t>
        </is>
      </c>
      <c r="F19" s="9" t="inlineStr">
        <is>
          <t xml:space="preserve">Each section checked against its ADR; the M1 sections compared with v1.0 so that only the changes recorded in the v2.0 row differ; the built document rendered and checked; reviewed by Darius Mushi on #95</t>
        </is>
      </c>
      <c r="G19" s="9" t="inlineStr">
        <is>
          <t xml:space="preserve">Accepted after revision</t>
        </is>
      </c>
      <c r="H19" s="9" t="inlineStr">
        <is>
          <t xml:space="preserve">Darius Mushi's review found the cover contradicting s16 on the M1 sign-off, s8.3 conflicting with s22.2, a miscount in s19 and uncited facts in s20. All were corrected on 29 September 2026.</t>
        </is>
      </c>
    </row>
    <row r="20" customFormat="false" ht="47.6" hidden="false" customHeight="false" outlineLevel="0" collapsed="false">
      <c r="A20" s="9" t="inlineStr">
        <is>
          <t xml:space="preserve">28 September 2026</t>
        </is>
      </c>
      <c r="B20" s="9" t="inlineStr">
        <is>
          <t xml:space="preserve">Jean Smit</t>
        </is>
      </c>
      <c r="C20" s="9" t="inlineStr">
        <is>
          <t xml:space="preserve">Claude Code (Anthropic)</t>
        </is>
      </c>
      <c r="D20" s="9" t="inlineStr">
        <is>
          <t xml:space="preserve">Reviewing pull requests #88, #89, #90, #97, #98 and #99 (28 and 29 September 2026)</t>
        </is>
      </c>
      <c r="E20" s="9" t="inlineStr">
        <is>
          <t xml:space="preserve">Checked each pull request against the requirements, ADRs and cited sources, ran the bootstrap, and drafted the review text</t>
        </is>
      </c>
      <c r="F20" s="9" t="inlineStr">
        <is>
          <t xml:space="preserve">The bootstrap installed from clean and run on Node 24.14.0: npm test, the health endpoint and npm audit; each cited source opened; requirement claims checked against the workbook</t>
        </is>
      </c>
      <c r="G20" s="9" t="inlineStr">
        <is>
          <t xml:space="preserve">Accepted after revision</t>
        </is>
      </c>
      <c r="H20" s="9" t="inlineStr">
        <is>
          <t xml:space="preserve">A claim that the undeclared dotenv package would crash a production install was tested with npm ci --omit=dev, found wrong, and narrowed before the review was posted.</t>
        </is>
      </c>
    </row>
    <row r="21" customFormat="false" ht="142.8" hidden="false" customHeight="false" outlineLevel="0" collapsed="false">
      <c r="A21" s="9" t="inlineStr">
        <is>
          <t xml:space="preserve">28 September 2026</t>
        </is>
      </c>
      <c r="B21" s="9" t="inlineStr">
        <is>
          <t xml:space="preserve">Tristan Roets</t>
        </is>
      </c>
      <c r="C21" s="9" t="inlineStr">
        <is>
          <t xml:space="preserve">ChatGPT (OpenAI, GPT-5.6 Sol)</t>
        </is>
      </c>
      <c r="D21" s="9" t="inlineStr">
        <is>
          <t xml:space="preserve">DEC-011 / #58: data and persistence design</t>
        </is>
      </c>
      <c r="E21" s="9" t="inlineStr">
        <is>
          <t xml:space="preserve">Used as a review and drafting aid while I developed the data and persistence decision. It helped me organise parts of the ADR and check that I had covered the required areas.</t>
        </is>
      </c>
      <c r="F21" s="9" t="inlineStr">
        <is>
          <t xml:space="preserve">I checked the final design against FR-005 to FR-009, FR-011, FR-012, FR-017, FR-018, FR-020, FR-021, FR-025, FR-026, ADR-001, ADR-005 and ADR-006, including requester/category scope, ActionEntry visibility, status history and structured audit requirements.</t>
        </is>
      </c>
      <c r="G21" s="9" t="inlineStr">
        <is>
          <t xml:space="preserve">I selected and documented the final PostgreSQL relational model, Prisma as the authoritative application schema, request reference approach, transaction boundaries and integrity controls. AI suggestions were only used where they agreed with the project evidence.</t>
        </is>
      </c>
      <c r="H21" s="9" t="inlineStr">
        <is>
          <t xml:space="preserve">PR review found that the first draft did not fully separate RequestStatusHistory, ActionEntry and AuditEntry responsibilities; it was missing some required Request fields and clearer transaction semantics; and it was ambiguous about the authoritative Prisma versus SQL schema. I corrected those points in ADR-007 and aligned the initial SQL/schema wording before review continued.</t>
        </is>
      </c>
    </row>
    <row r="22" customFormat="false" ht="119.0" hidden="false" customHeight="false" outlineLevel="0" collapsed="false">
      <c r="A22" s="9" t="inlineStr">
        <is>
          <t xml:space="preserve">28 September 2026</t>
        </is>
      </c>
      <c r="B22" s="9" t="inlineStr">
        <is>
          <t xml:space="preserve">Tristan Roets</t>
        </is>
      </c>
      <c r="C22" s="9" t="inlineStr">
        <is>
          <t xml:space="preserve">ChatGPT (OpenAI, GPT-5.6 Sol)</t>
        </is>
      </c>
      <c r="D22" s="9" t="inlineStr">
        <is>
          <t xml:space="preserve">#63: request status notification interface</t>
        </is>
      </c>
      <c r="E22" s="9" t="inlineStr">
        <is>
          <t xml:space="preserve">Used to help review and organise my notification-interface ADR and check that the main interface concerns were covered.</t>
        </is>
      </c>
      <c r="F22" s="9" t="inlineStr">
        <is>
          <t xml:space="preserve">I checked the final interface against FR-017, FR-029, DEC-005, SC-D-01, FEC-03, ADR-001, ADR-005, ADR-006 and ADR-007.</t>
        </is>
      </c>
      <c r="G22" s="9" t="inlineStr">
        <is>
          <t xml:space="preserve">I retained the in-process M2 notification interface, derived requester indications from persisted RequestStatusHistory and requester-visible ActionEntry evidence, and kept email/SMS and asynchronous external delivery deferred.</t>
        </is>
      </c>
      <c r="H22" s="9" t="inlineStr">
        <is>
          <t xml:space="preserve">PR review found that the original version did not map all four FR-029 events precisely enough, mixed visibility into the wrong contract, had unclear next-sign-in persistence/failure behaviour and used outdated persistence references. I corrected the event mapping, limited visibility to requester-visible ActionEntries, based indications on persisted evidence, and updated the ADR references.</t>
        </is>
      </c>
    </row>
    <row r="23" customFormat="false" ht="71.4" hidden="false" customHeight="false" outlineLevel="0" collapsed="false">
      <c r="A23" s="9" t="inlineStr">
        <is>
          <t xml:space="preserve">28 September 2026</t>
        </is>
      </c>
      <c r="B23" s="9" t="inlineStr">
        <is>
          <t xml:space="preserve">Tristan Roets</t>
        </is>
      </c>
      <c r="C23" s="9" t="inlineStr">
        <is>
          <t xml:space="preserve">ChatGPT (OpenAI, GPT-5.6 Sol)</t>
        </is>
      </c>
      <c r="D23" s="9" t="inlineStr">
        <is>
          <t xml:space="preserve">#95/#99: PED v2.0 sections 21 and 23</t>
        </is>
      </c>
      <c r="E23" s="9" t="inlineStr">
        <is>
          <t xml:space="preserve">Used as a writing and checking aid while I converted my #58 and #63 work into shorter PED sections and followed the required Markdown format.</t>
        </is>
      </c>
      <c r="F23" s="9" t="inlineStr">
        <is>
          <t xml:space="preserve">I compared s21 with ADR-007 and s23 with ADR-008 to make sure the PED accurately summarised the underlying decisions without adding new ones.</t>
        </is>
      </c>
      <c r="G23" s="9" t="inlineStr">
        <is>
          <t xml:space="preserve">I wrote the final PED contribution and submitted it in #99.</t>
        </is>
      </c>
      <c r="H23" s="9" t="inlineStr">
        <is>
          <t xml:space="preserve">Review identified that visibility had initially been described on the wrong entity, ADR references needed to be explicit, unsupported notification wording had to be removed and the section boundary before s24 needed correcting. I updated #99 accordingly.</t>
        </is>
      </c>
    </row>
    <row r="24" customFormat="false" ht="83.3" hidden="false" customHeight="false" outlineLevel="0" collapsed="false">
      <c r="A24" s="9" t="inlineStr">
        <is>
          <t xml:space="preserve">29 September 2026</t>
        </is>
      </c>
      <c r="B24" s="9" t="inlineStr">
        <is>
          <t xml:space="preserve">Tristan Roets</t>
        </is>
      </c>
      <c r="C24" s="9" t="inlineStr">
        <is>
          <t xml:space="preserve">ChatGPT (OpenAI, GPT-5.6 Sol)</t>
        </is>
      </c>
      <c r="D24" s="9" t="inlineStr">
        <is>
          <t xml:space="preserve">#68: M2 risk, assumption and FEC review</t>
        </is>
      </c>
      <c r="E24" s="9" t="inlineStr">
        <is>
          <t xml:space="preserve">Used to help organise my review of which register entries were affected by the M2 work and to cross-check related issue and ADR references.</t>
        </is>
      </c>
      <c r="F24" s="9" t="inlineStr">
        <is>
          <t xml:space="preserve">I checked the proposed updates against the actual Risk Register descriptions, the relevant M2 ADR Risks created sections and current repository evidence, including the Prisma dependency finding.</t>
        </is>
      </c>
      <c r="G24" s="9" t="inlineStr">
        <is>
          <t xml:space="preserve">I determined which existing risks/FECs needed updated ratings or status and supplied Jean with the new ADR-created risk rows for the combined registers PR.</t>
        </is>
      </c>
      <c r="H24" s="9" t="inlineStr">
        <is>
          <t xml:space="preserve">My first pass linked several IDs to the wrong concerns. After checking the register, I corrected RSK-05, RSK-10, RSK-13 and FEC-07, kept FEC-01 only partly answered, rescored RSK-12 as materialised-active, and added the new ADR-created risks.</t>
        </is>
      </c>
    </row>
    <row r="25" customFormat="false" ht="95.2" hidden="false" customHeight="false" outlineLevel="0" collapsed="false">
      <c r="A25" s="9" t="inlineStr">
        <is>
          <t xml:space="preserve">21 September 2026</t>
        </is>
      </c>
      <c r="B25" s="9" t="inlineStr">
        <is>
          <t xml:space="preserve">Tristan Roets</t>
        </is>
      </c>
      <c r="C25" s="9" t="inlineStr">
        <is>
          <t xml:space="preserve">ChatGPT (OpenAI, GPT-5.6 Sol)</t>
        </is>
      </c>
      <c r="D25" s="9" t="inlineStr">
        <is>
          <t xml:space="preserve">Assignment 3 Question 3 / #76/#89: production readiness research (21 to 29 September 2026)</t>
        </is>
      </c>
      <c r="E25" s="9" t="inlineStr">
        <is>
          <t xml:space="preserve">Used as a research and writing aid to help organise my research, identify possible sources and review wording.</t>
        </is>
      </c>
      <c r="F25" s="9" t="inlineStr">
        <is>
          <t xml:space="preserve">I checked the technical claims against the sources used in my research, including Twelve-Factor, OWASP, GitHub Docs, Microsoft Learn, Google SRE and NIST.</t>
        </is>
      </c>
      <c r="G25" s="9" t="inlineStr">
        <is>
          <t xml:space="preserve">I selected the final content and sources and kept the research separate from actual CivicConnect M3 implementation decisions.</t>
        </is>
      </c>
      <c r="H25" s="9" t="inlineStr">
        <is>
          <t xml:space="preserve">PR review found an incorrect nested file location, the NIST DOI was wrong, several reference names/dates and in-text citations did not match A3_CHANGES.md, the evidence matrix/AI record needed GitHub Markdown pipe-table formatting, and stale working-draft wording needed removal. I corrected those items on #89; the PR is still awaiting final review/merge.</t>
        </is>
      </c>
    </row>
    <row r="26" customFormat="false" ht="47.6" hidden="false" customHeight="false" outlineLevel="0" collapsed="false">
      <c r="A26" s="9" t="inlineStr">
        <is>
          <t xml:space="preserve">29 September 2026</t>
        </is>
      </c>
      <c r="B26" s="9" t="inlineStr">
        <is>
          <t xml:space="preserve">Jean Smit</t>
        </is>
      </c>
      <c r="C26" s="9" t="inlineStr">
        <is>
          <t xml:space="preserve">Claude Code (Anthropic)</t>
        </is>
      </c>
      <c r="D26" s="9" t="inlineStr">
        <is>
          <t xml:space="preserve">M2 register changes: RTM restructure, Decision Log, change requests, RSK-12 and this register (#54, #68, #70)</t>
        </is>
      </c>
      <c r="E26" s="9" t="inlineStr">
        <is>
          <t xml:space="preserve">Drafted the RTM mapping for 42 requirements, the Decision Log rows from the ADRs, and the change requests</t>
        </is>
      </c>
      <c r="F26" s="9" t="inlineStr">
        <is>
          <t xml:space="preserve">Every identifier checked against the ADRs, the requirements and the drivers record; the workbook parts compared before and after, with every unchanged part byte-identical; the workbook opened and recalculated in Excel and the formula values compared</t>
        </is>
      </c>
      <c r="G26" s="9" t="inlineStr">
        <is>
          <t xml:space="preserve">Accepted after revision</t>
        </is>
      </c>
      <c r="H26" s="9" t="inlineStr">
        <is>
          <t xml:space="preserve">[To be completed by Jean Smit after review of this pull request.]</t>
        </is>
      </c>
    </row>
  </sheetData>
  <autoFilter ref="A2:H26"/>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inlineStr">
        <is>
          <t xml:space="preserve">Change requests (Master Brief Appendix E and s14). Each row records a change to baselined content, its impact and its approval.</t>
        </is>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83.3" hidden="false" customHeight="false" outlineLevel="0" collapsed="false">
      <c r="A3" s="9" t="inlineStr">
        <is>
          <t xml:space="preserve">CR-001</t>
        </is>
      </c>
      <c r="B3" s="9" t="inlineStr">
        <is>
          <t xml:space="preserve">Jean Smit</t>
        </is>
      </c>
      <c r="C3" s="9" t="inlineStr">
        <is>
          <t xml:space="preserve">23 September 2026</t>
        </is>
      </c>
      <c r="D3" s="9" t="inlineStr">
        <is>
          <t xml:space="preserve">Move the PED source from Word to markdown, with the Word document generated from it (#55). PED v1.0 stays unchanged as the M1 record.</t>
        </is>
      </c>
      <c r="E3" s="9" t="inlineStr">
        <is>
          <t xml:space="preserve">The M1 gate feedback asked for markdown compiled to Word. A2 Task 4 found that a Word file in git cannot be reviewed line by line and conflicts when two pull requests change it, which forced #40, #42 and #44 to be rebuilt as #46.</t>
        </is>
      </c>
      <c r="F3" s="9" t="inlineStr">
        <is>
          <t xml:space="preserve">None</t>
        </is>
      </c>
      <c r="G3" s="9" t="inlineStr">
        <is>
          <t xml:space="preserve">None</t>
        </is>
      </c>
      <c r="H3" s="9" t="inlineStr">
        <is>
          <t xml:space="preserve">None</t>
        </is>
      </c>
      <c r="I3" s="9" t="inlineStr">
        <is>
          <t xml:space="preserve">None</t>
        </is>
      </c>
      <c r="J3" s="9" t="inlineStr">
        <is>
          <t xml:space="preserve">The conversion is checked by a fidelity check: 1504 blocks and 18,169 words identical to v1.0. The build is checked by rebuilding v1.0 and comparing the rendered pages.</t>
        </is>
      </c>
      <c r="K3" s="9" t="inlineStr">
        <is>
          <t xml:space="preserve">None</t>
        </is>
      </c>
      <c r="L3" s="9" t="inlineStr">
        <is>
          <t xml:space="preserve">Build tooling in M2 (#95). Later PED changes are reviewed as text.</t>
        </is>
      </c>
      <c r="M3" s="9" t="inlineStr">
        <is>
          <t xml:space="preserve">None. Pandoc and Python are free.</t>
        </is>
      </c>
      <c r="N3" s="9" t="inlineStr">
        <is>
          <t xml:space="preserve">Reduces the merge-conflict and review exposure recorded under RSK-04.</t>
        </is>
      </c>
      <c r="O3" s="9" t="inlineStr">
        <is>
          <t xml:space="preserve">ACCEPT</t>
        </is>
      </c>
      <c r="P3" s="9" t="inlineStr">
        <is>
          <t xml:space="preserve">Pending the M2 baseline sign-off (#69).</t>
        </is>
      </c>
    </row>
    <row r="4" customFormat="false" ht="71.4" hidden="false" customHeight="false" outlineLevel="0" collapsed="false">
      <c r="A4" s="10" t="inlineStr">
        <is>
          <t xml:space="preserve">CR-002</t>
        </is>
      </c>
      <c r="B4" s="10" t="inlineStr">
        <is>
          <t xml:space="preserve">Jean Smit</t>
        </is>
      </c>
      <c r="C4" s="10" t="inlineStr">
        <is>
          <t xml:space="preserve">28 September 2026</t>
        </is>
      </c>
      <c r="D4" s="10" t="inlineStr">
        <is>
          <t xml:space="preserve">Correct four Access Matrix cells to the requirements: the Manager may not assign, reject or set priority, and the Coordinator may not accept an unassigned request (#92).</t>
        </is>
      </c>
      <c r="E4" s="10" t="inlineStr">
        <is>
          <t xml:space="preserve">The cells grant what FR-015, FR-020 and FR-021 refuse, with the Status Model that FR-016 makes authoritative for transitions. Found by the ADR-006 tests, which generate a case from every cell.</t>
        </is>
      </c>
      <c r="F4" s="10" t="inlineStr">
        <is>
          <t xml:space="preserve">FR-002, whose authoritative statement is the matrix; FR-015, FR-016, FR-020, FR-021; NFR-005.</t>
        </is>
      </c>
      <c r="G4" s="10" t="inlineStr">
        <is>
          <t xml:space="preserve">None to ADR-005 or ADR-006. The policy already denies the four cells; MATRIX_CONFLICTS in policy.js is emptied and the fixture re-exported.</t>
        </is>
      </c>
      <c r="H4" s="10" t="inlineStr">
        <is>
          <t xml:space="preserve">None</t>
        </is>
      </c>
      <c r="I4" s="10" t="inlineStr">
        <is>
          <t xml:space="preserve">Removes four grants the requirements refuse, in line with deny by default under NFR-005.</t>
        </is>
      </c>
      <c r="J4" s="10" t="inlineStr">
        <is>
          <t xml:space="preserve">The four conflict assertions become ordinary denials, and the fixture is re-exported from the corrected register.</t>
        </is>
      </c>
      <c r="K4" s="10" t="inlineStr">
        <is>
          <t xml:space="preserve">None</t>
        </is>
      </c>
      <c r="L4" s="10" t="inlineStr">
        <is>
          <t xml:space="preserve">One register edit and one test update.</t>
        </is>
      </c>
      <c r="M4" s="10" t="inlineStr">
        <is>
          <t xml:space="preserve">None</t>
        </is>
      </c>
      <c r="N4" s="10" t="inlineStr">
        <is>
          <t xml:space="preserve">RSK-05</t>
        </is>
      </c>
      <c r="O4" s="10" t="inlineStr">
        <is>
          <t xml:space="preserve">ACCEPT, correcting the matrix. The alternative, changing the Status Model and FR-021 to match the matrix, is the larger change and affects ADR-005.</t>
        </is>
      </c>
      <c r="P4" s="10" t="inlineStr">
        <is>
          <t xml:space="preserve">Pending the team decision at the M2 baseline sign-off (#69).</t>
        </is>
      </c>
    </row>
    <row r="5" customFormat="false" ht="83.3" hidden="false" customHeight="false" outlineLevel="0" collapsed="false">
      <c r="A5" s="9" t="inlineStr">
        <is>
          <t xml:space="preserve">CR-003</t>
        </is>
      </c>
      <c r="B5" s="9" t="inlineStr">
        <is>
          <t xml:space="preserve">Jean Smit</t>
        </is>
      </c>
      <c r="C5" s="9" t="inlineStr">
        <is>
          <t xml:space="preserve">29 September 2026</t>
        </is>
      </c>
      <c r="D5" s="9" t="inlineStr">
        <is>
          <t xml:space="preserve">Replace RTM columns G to L (related risk or FEC, design, issue or pull request, implementation, test and release evidence) with the eight M2 columns, keeping the requirement columns and status (#54).</t>
        </is>
      </c>
      <c r="E5" s="9" t="inlineStr">
        <is>
          <t xml:space="preserve">The M2 brief requires the RTM to show how requirements became engineering decisions and implementation evidence (M2 brief s4.2 and s9). The M1 title cell said the columns must not be deleted, so the change goes through change control.</t>
        </is>
      </c>
      <c r="F5" s="9" t="inlineStr">
        <is>
          <t xml:space="preserve">None. Every requirement keeps its row.</t>
        </is>
      </c>
      <c r="G5" s="9" t="inlineStr">
        <is>
          <t xml:space="preserve">None</t>
        </is>
      </c>
      <c r="H5" s="9" t="inlineStr">
        <is>
          <t xml:space="preserve">None</t>
        </is>
      </c>
      <c r="I5" s="9" t="inlineStr">
        <is>
          <t xml:space="preserve">None</t>
        </is>
      </c>
      <c r="J5" s="9" t="inlineStr">
        <is>
          <t xml:space="preserve">Verification evidence replaces the test column, and every cell holds evidence or a controlled status.</t>
        </is>
      </c>
      <c r="K5" s="9" t="inlineStr">
        <is>
          <t xml:space="preserve">None. Release evidence is added back at M4, when it exists.</t>
        </is>
      </c>
      <c r="L5" s="9" t="inlineStr">
        <is>
          <t xml:space="preserve">Part of M2 (#54).</t>
        </is>
      </c>
      <c r="M5" s="9" t="inlineStr">
        <is>
          <t xml:space="preserve">None</t>
        </is>
      </c>
      <c r="N5" s="9" t="inlineStr">
        <is>
          <t xml:space="preserve">RSK-03. The related risk and FEC identifiers move into the reference column.</t>
        </is>
      </c>
      <c r="O5" s="9" t="inlineStr">
        <is>
          <t xml:space="preserve">ACCEPT</t>
        </is>
      </c>
      <c r="P5" s="9" t="inlineStr">
        <is>
          <t xml:space="preserve">Pending the M2 baseline sign-off (#69).</t>
        </is>
      </c>
    </row>
  </sheetData>
  <autoFilter ref="A2:P5"/>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831</v>
      </c>
    </row>
    <row r="8" customFormat="false" ht="15" hidden="false" customHeight="false" outlineLevel="0" collapsed="false">
      <c r="A8" s="10" t="s">
        <v>837</v>
      </c>
      <c r="B8" s="10" t="s">
        <v>834</v>
      </c>
      <c r="C8" s="10" t="s">
        <v>831</v>
      </c>
      <c r="D8" s="10" t="s">
        <v>831</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831</v>
      </c>
    </row>
    <row r="13" customFormat="false" ht="15" hidden="false" customHeight="false" outlineLevel="0" collapsed="false">
      <c r="A13" s="9" t="s">
        <v>842</v>
      </c>
      <c r="B13" s="9" t="s">
        <v>834</v>
      </c>
      <c r="C13" s="9" t="s">
        <v>834</v>
      </c>
      <c r="D13" s="9" t="s">
        <v>831</v>
      </c>
      <c r="E13" s="9" t="s">
        <v>831</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s">
        <v>922</v>
      </c>
    </row>
    <row r="8" customFormat="false" ht="15" hidden="false" customHeight="false" outlineLevel="0" collapsed="false">
      <c r="A8" s="10" t="s">
        <v>923</v>
      </c>
      <c r="B8" s="10" t="s">
        <v>924</v>
      </c>
    </row>
    <row r="9" customFormat="false" ht="15" hidden="false" customHeight="false" outlineLevel="0" collapsed="false">
      <c r="A9" s="9" t="s">
        <v>925</v>
      </c>
      <c r="B9" s="9" t="s">
        <v>924</v>
      </c>
    </row>
    <row r="10" customFormat="false" ht="15" hidden="false" customHeight="false" outlineLevel="0" collapsed="false">
      <c r="A10" s="10" t="s">
        <v>926</v>
      </c>
      <c r="B10" s="10" t="s">
        <v>924</v>
      </c>
    </row>
    <row r="11" customFormat="false" ht="15" hidden="false" customHeight="false" outlineLevel="0" collapsed="false">
      <c r="A11" s="9" t="s">
        <v>927</v>
      </c>
      <c r="B11" s="9" t="s">
        <v>924</v>
      </c>
    </row>
    <row r="12" customFormat="false" ht="15" hidden="false" customHeight="false" outlineLevel="0" collapsed="false">
      <c r="A12" s="10" t="s">
        <v>928</v>
      </c>
      <c r="B12" s="10" t="s">
        <v>924</v>
      </c>
    </row>
    <row r="13" customFormat="false" ht="15" hidden="false" customHeight="false" outlineLevel="0" collapsed="false">
      <c r="A13" s="9" t="s">
        <v>929</v>
      </c>
      <c r="B13" s="9" t="s">
        <v>924</v>
      </c>
    </row>
    <row r="14" customFormat="false" ht="15" hidden="false" customHeight="false" outlineLevel="0" collapsed="false">
      <c r="A14" s="10" t="s">
        <v>930</v>
      </c>
      <c r="B14" s="10" t="s">
        <v>931</v>
      </c>
    </row>
    <row r="15" customFormat="false" ht="15" hidden="false" customHeight="false" outlineLevel="0" collapsed="false">
      <c r="A15" s="9" t="s">
        <v>932</v>
      </c>
      <c r="B15" s="12" t="s">
        <v>933</v>
      </c>
    </row>
    <row r="16" customFormat="false" ht="15" hidden="false" customHeight="false" outlineLevel="0" collapsed="false">
      <c r="A16" s="10" t="s">
        <v>1033</v>
      </c>
      <c r="B16" s="10" t="s">
        <v>935</v>
      </c>
    </row>
    <row r="17" customFormat="false" ht="15" hidden="false" customHeight="false" outlineLevel="0" collapsed="false">
      <c r="A17" s="9" t="s">
        <v>1034</v>
      </c>
      <c r="B17" s="9" t="s">
        <v>935</v>
      </c>
    </row>
    <row r="18" customFormat="false" ht="15" hidden="false" customHeight="false" outlineLevel="0" collapsed="false">
      <c r="A18" s="10" t="s">
        <v>1035</v>
      </c>
      <c r="B18" s="10" t="s">
        <v>935</v>
      </c>
    </row>
    <row r="19" customFormat="false" ht="15" hidden="false" customHeight="false" outlineLevel="0" collapsed="false">
      <c r="A19" s="9" t="s">
        <v>938</v>
      </c>
      <c r="B19" s="12" t="s">
        <v>933</v>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