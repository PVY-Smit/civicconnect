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9.xml" ContentType="application/vnd.openxmlformats-officedocument.drawing+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Stakeholders" sheetId="2" state="visible" r:id="rId4"/>
    <sheet name="Scope Baseline" sheetId="3" state="visible" r:id="rId5"/>
    <sheet name="Requirements (FR)" sheetId="4" state="visible" r:id="rId6"/>
    <sheet name="Requirements (NFR)" sheetId="5" state="visible" r:id="rId7"/>
    <sheet name="Constraints" sheetId="6" state="visible" r:id="rId8"/>
    <sheet name="RTM" sheetId="7" state="visible" r:id="rId9"/>
    <sheet name="Risk Register" sheetId="8" state="visible" r:id="rId10"/>
    <sheet name="Forward Considerations" sheetId="9" state="visible" r:id="rId11"/>
    <sheet name="Decision Log" sheetId="10" state="visible" r:id="rId12"/>
    <sheet name="AI Usage Register" sheetId="11" state="visible" r:id="rId13"/>
    <sheet name="Change Requests" sheetId="12" state="visible" r:id="rId14"/>
    <sheet name="Status Model" sheetId="13" state="visible" r:id="rId15"/>
    <sheet name="Access Matrix" sheetId="14" state="visible" r:id="rId16"/>
    <sheet name="Team Working Agreement" sheetId="15" state="visible" r:id="rId17"/>
    <sheet name="GitHub Governance" sheetId="16" state="visible" r:id="rId18"/>
    <sheet name="Baseline Sign-off" sheetId="17" state="visible" r:id="rId19"/>
  </sheets>
  <definedNames>
    <definedName function="false" hidden="true" localSheetId="13" name="_xlnm._FilterDatabase" vbProcedure="false">'Access Matrix'!$A$2:$E$17</definedName>
    <definedName function="false" hidden="true" localSheetId="10" name="_xlnm._FilterDatabase" vbProcedure="false">'AI Usage Register'!$A$2:$H$5</definedName>
    <definedName function="false" hidden="true" localSheetId="16" name="_xlnm._FilterDatabase" vbProcedure="false">'Baseline Sign-off'!$A$2:$B$19</definedName>
    <definedName function="false" hidden="true" localSheetId="11" name="_xlnm._FilterDatabase" vbProcedure="false">'Change Requests'!$A$2:$P$3</definedName>
    <definedName function="false" hidden="true" localSheetId="5" name="_xlnm._FilterDatabase" vbProcedure="false">Constraints!$A$2:$D$10</definedName>
    <definedName function="false" hidden="true" localSheetId="9" name="_xlnm._FilterDatabase" vbProcedure="false">'Decision Log'!$A$2:$L$14</definedName>
    <definedName function="false" hidden="true" localSheetId="8" name="_xlnm._FilterDatabase" vbProcedure="false">'Forward Considerations'!$A$2:$G$9</definedName>
    <definedName function="false" hidden="true" localSheetId="15" name="_xlnm._FilterDatabase" vbProcedure="false">'GitHub Governance'!$A$2:$C$14</definedName>
    <definedName function="false" hidden="true" localSheetId="3" name="_xlnm._FilterDatabase" vbProcedure="false">'Requirements (FR)'!$A$2:$F$31</definedName>
    <definedName function="false" hidden="true" localSheetId="4" name="_xlnm._FilterDatabase" vbProcedure="false">'Requirements (NFR)'!$A$2:$G$15</definedName>
    <definedName function="false" hidden="true" localSheetId="7" name="_xlnm._FilterDatabase" vbProcedure="false">'Risk Register'!$A$2:$L$16</definedName>
    <definedName function="false" hidden="true" localSheetId="6" name="_xlnm._FilterDatabase" vbProcedure="false">RTM!$A$2:$M$44</definedName>
    <definedName function="false" hidden="true" localSheetId="2" name="_xlnm._FilterDatabase" vbProcedure="false">'Scope Baseline'!$A$2:$E$27</definedName>
    <definedName function="false" hidden="true" localSheetId="1" name="_xlnm._FilterDatabase" vbProcedure="false">Stakeholders!$A$2:$G$11</definedName>
    <definedName function="false" hidden="true" localSheetId="12" name="_xlnm._FilterDatabase" vbProcedure="false">'Status Model'!$A$2:$D$14</definedName>
    <definedName function="false" hidden="true" localSheetId="14" name="_xlnm._FilterDatabase" vbProcedure="false">'Team Working Agreement'!$A$2:$B$14</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F2" authorId="0">
      <text>
        <r>
          <rPr>
            <sz val="10"/>
            <rFont val="Arial"/>
            <family val="2"/>
          </rPr>
          <t xml:space="preserve">Exposure = Probability x Impact, on a 1-5 scale each (max 25).</t>
        </r>
      </text>
    </comment>
    <comment ref="G2" authorId="0">
      <text>
        <r>
          <rPr>
            <sz val="10"/>
            <rFont val="Arial"/>
            <family val="2"/>
          </rPr>
          <t xml:space="preserve">Critical &gt;= 20, High 12-19, Medium 6-11, Low &lt; 6.</t>
        </r>
      </text>
    </comment>
  </commentList>
</comments>
</file>

<file path=xl/sharedStrings.xml><?xml version="1.0" encoding="utf-8"?>
<sst xmlns="http://schemas.openxmlformats.org/spreadsheetml/2006/main" count="1753" uniqueCount="1025">
  <si>
    <t xml:space="preserve">CivicConnect - Milestone 1 controlled registers</t>
  </si>
  <si>
    <t xml:space="preserve">Purpose</t>
  </si>
  <si>
    <t xml:space="preserve">These are the live engineering registers referenced by PED v1.0. They are controlled project artefacts: keep them in the team repository and change them through Pull Requests, like code.</t>
  </si>
  <si>
    <t xml:space="preserve">Version</t>
  </si>
  <si>
    <t xml:space="preserve">1.0 - baselined at the M1 engineering gate</t>
  </si>
  <si>
    <t xml:space="preserve">Owner</t>
  </si>
  <si>
    <t xml:space="preserve">[Team name / registered team members]</t>
  </si>
  <si>
    <t xml:space="preserve">HOW TO USE THIS FILE</t>
  </si>
  <si>
    <t xml:space="preserve">Yellow cells</t>
  </si>
  <si>
    <t xml:space="preserve">Placeholders you must replace. Every one is written in [square brackets]. Search the workbook for '[' to find them all.</t>
  </si>
  <si>
    <t xml:space="preserve">Identifiers</t>
  </si>
  <si>
    <t xml:space="preserve">Do not renumber FR, NFR, RSK, DEC, FEC or SC identifiers once baselined. The RTM and the PED both reference them, and renumbering silently breaks traceability.</t>
  </si>
  <si>
    <t xml:space="preserve">Formulas</t>
  </si>
  <si>
    <t xml:space="preserve">Exposure and Priority on the Risk Register are formulas. Change Probability or Impact and they recalculate. Do not overwrite them with typed values.</t>
  </si>
  <si>
    <t xml:space="preserve">Adding rows</t>
  </si>
  <si>
    <t xml:space="preserve">Add rows at the bottom of a sheet and continue the identifier sequence. Update the RTM in the same change.</t>
  </si>
  <si>
    <t xml:space="preserve">Evidence columns</t>
  </si>
  <si>
    <t xml:space="preserve">RTM columns H to L and the GitHub Governance evidence column stay empty until M2 and M3. That is intended - they show the traceability structure is ready.</t>
  </si>
  <si>
    <t xml:space="preserve">BASELINE SUMMARY</t>
  </si>
  <si>
    <t xml:space="preserve">Functional requirements</t>
  </si>
  <si>
    <t xml:space="preserve">  of which Must</t>
  </si>
  <si>
    <t xml:space="preserve">  of which Should</t>
  </si>
  <si>
    <t xml:space="preserve">  of which Could</t>
  </si>
  <si>
    <t xml:space="preserve">Non-functional requirements</t>
  </si>
  <si>
    <t xml:space="preserve">RTM rows</t>
  </si>
  <si>
    <t xml:space="preserve">Risks - Critical</t>
  </si>
  <si>
    <t xml:space="preserve">Risks - High</t>
  </si>
  <si>
    <t xml:space="preserve">Risks - Medium</t>
  </si>
  <si>
    <t xml:space="preserve">Risks - Low</t>
  </si>
  <si>
    <t xml:space="preserve">Forward considerations</t>
  </si>
  <si>
    <t xml:space="preserve">Decisions recorded</t>
  </si>
  <si>
    <t xml:space="preserve">  of which deferred</t>
  </si>
  <si>
    <t xml:space="preserve">Stakeholder analysis baselined in PED v1.0 s5. Conflicts are stated explicitly because the resolution of each one is traceable to a requirement or a decision.</t>
  </si>
  <si>
    <t xml:space="preserve">ID</t>
  </si>
  <si>
    <t xml:space="preserve">Stakeholder</t>
  </si>
  <si>
    <t xml:space="preserve">Role and interest</t>
  </si>
  <si>
    <t xml:space="preserve">Needs</t>
  </si>
  <si>
    <t xml:space="preserve">Influence</t>
  </si>
  <si>
    <t xml:space="preserve">Interest</t>
  </si>
  <si>
    <t xml:space="preserve">Conflicts and how they are resolved</t>
  </si>
  <si>
    <t xml:space="preserve">STK-01</t>
  </si>
  <si>
    <t xml:space="preserve">Requester (community member or staff submitting a request)</t>
  </si>
  <si>
    <t xml:space="preserve">Raises service requests and needs to know what happened to them</t>
  </si>
  <si>
    <t xml:space="preserve">Simple submission; confirmation that the request was received; visible status without chasing anyone; a record of past requests</t>
  </si>
  <si>
    <t xml:space="preserve">Low</t>
  </si>
  <si>
    <t xml:space="preserve">High</t>
  </si>
  <si>
    <t xml:space="preserve">Wants full visibility of who is working on the request and what they have written. Conflicts with STK-02, who needs candid internal working notes. Resolved by DEC-003.</t>
  </si>
  <si>
    <t xml:space="preserve">STK-02</t>
  </si>
  <si>
    <t xml:space="preserve">Service staff / technician</t>
  </si>
  <si>
    <t xml:space="preserve">Carries out the work and records what was done</t>
  </si>
  <si>
    <t xml:space="preserve">A queue of only relevant work; enough detail to act without phoning back; ability to record honest internal notes; not to be interrupted across five channels</t>
  </si>
  <si>
    <t xml:space="preserve">Medium</t>
  </si>
  <si>
    <t xml:space="preserve">Wants broad visibility of all requests for context. Conflicts with the least-privilege security constraint. Resolved by scoping the queue to authorised categories (FR-013) rather than granting global read.</t>
  </si>
  <si>
    <t xml:space="preserve">STK-03</t>
  </si>
  <si>
    <t xml:space="preserve">Service coordinator / supervisor</t>
  </si>
  <si>
    <t xml:space="preserve">Assigns work, sets priority and keeps the queue moving</t>
  </si>
  <si>
    <t xml:space="preserve">Reliable prioritisation; clear ownership of every request; ability to reassign; visibility of ageing and overdue work</t>
  </si>
  <si>
    <t xml:space="preserve">Needs to own priority. Conflicts with STK-01, who wants to declare their own request urgent. Resolved by DEC-002: requester urgency is an input, coordinator sets priority.</t>
  </si>
  <si>
    <t xml:space="preserve">STK-04</t>
  </si>
  <si>
    <t xml:space="preserve">Management / oversight</t>
  </si>
  <si>
    <t xml:space="preserve">Accountable for service performance and reporting</t>
  </si>
  <si>
    <t xml:space="preserve">Trustworthy counts of open, overdue, resolved and closed work; breakdown by category; an auditable record of who changed what</t>
  </si>
  <si>
    <t xml:space="preserve">Wants rich analytics and export. Conflicts with the schedule and cost constraints. Resolved by baselining a minimal reporting set (FR-022 to FR-024) and deferring the analytics dashboard.</t>
  </si>
  <si>
    <t xml:space="preserve">STK-05</t>
  </si>
  <si>
    <t xml:space="preserve">System administrator (role held by STK-04 in this baseline)</t>
  </si>
  <si>
    <t xml:space="preserve">Maintains users, roles and the controlled category list</t>
  </si>
  <si>
    <t xml:space="preserve">Add and deactivate users; maintain categories without breaking historical records</t>
  </si>
  <si>
    <t xml:space="preserve">Deleting a category would orphan historical requests. Resolved by FR-027: categories are deactivated, never deleted.</t>
  </si>
  <si>
    <t xml:space="preserve">STK-06</t>
  </si>
  <si>
    <t xml:space="preserve">Organisation / project sponsor</t>
  </si>
  <si>
    <t xml:space="preserve">Funds and owns the platform; accountable for the business outcome</t>
  </si>
  <si>
    <t xml:space="preserve">Improved visibility and accountability without an unsustainable technical, operational or financial burden (Master Brief, s2.1)</t>
  </si>
  <si>
    <t xml:space="preserve">Cost ceiling constrains the availability target. See CON-03 and the trade-off analysis in s7.1.</t>
  </si>
  <si>
    <t xml:space="preserve">STK-07</t>
  </si>
  <si>
    <t xml:space="preserve">Information officer / data subject interest</t>
  </si>
  <si>
    <t xml:space="preserve">Personal information in requests is processed lawfully</t>
  </si>
  <si>
    <t xml:space="preserve">Minimal personal information collected; access restricted to those who need it; a defined retention position</t>
  </si>
  <si>
    <t xml:space="preserve">Privacy minimisation conflicts with STK-04's appetite for detailed reporting. Resolved by aggregate reporting (FR-022) rather than personal-level performance data in the baseline.</t>
  </si>
  <si>
    <t xml:space="preserve">STK-08</t>
  </si>
  <si>
    <t xml:space="preserve">SEN381 lecturer / assessor (acting client and approving authority)</t>
  </si>
  <si>
    <t xml:space="preserve">Approves the baseline and issues controlled change</t>
  </si>
  <si>
    <t xml:space="preserve">Controlled, traceable and defensible engineering evidence; a formal change request will be issued in M3 (Master Brief, s20.3)</t>
  </si>
  <si>
    <t xml:space="preserve">The known M3 change request is treated as a planned event, not a surprise. See RSK-03.</t>
  </si>
  <si>
    <t xml:space="preserve">STK-09</t>
  </si>
  <si>
    <t xml:space="preserve">Development team (three registered students)</t>
  </si>
  <si>
    <t xml:space="preserve">Engineers, operates and defends the system</t>
  </si>
  <si>
    <t xml:space="preserve">Achievable scope within the delivery period; a stack the team can actually learn and support; time for review and verification</t>
  </si>
  <si>
    <t xml:space="preserve">Capability is a resource constraint that limits buildable scope. See CON-06 and RSK-01.</t>
  </si>
  <si>
    <t xml:space="preserve">Baselined scope. An item moves between these three lists only through a change request recorded on the Change Requests sheet (Master Brief s14).</t>
  </si>
  <si>
    <t xml:space="preserve">Type</t>
  </si>
  <si>
    <t xml:space="preserve">Item</t>
  </si>
  <si>
    <t xml:space="preserve">Requirements</t>
  </si>
  <si>
    <t xml:space="preserve">Justification / reconsideration trigger</t>
  </si>
  <si>
    <t xml:space="preserve">SC-I-01</t>
  </si>
  <si>
    <t xml:space="preserve">In scope</t>
  </si>
  <si>
    <t xml:space="preserve">Authenticated access with four roles: Requester, Staff, Coordinator, Manager</t>
  </si>
  <si>
    <t xml:space="preserve">FR-001 to FR-004</t>
  </si>
  <si>
    <t xml:space="preserve">SC-I-02</t>
  </si>
  <si>
    <t xml:space="preserve">Service request submission with a controlled category, description, location and reported urgency</t>
  </si>
  <si>
    <t xml:space="preserve">FR-005 to FR-009</t>
  </si>
  <si>
    <t xml:space="preserve">SC-I-03</t>
  </si>
  <si>
    <t xml:space="preserve">A unique, human-readable request reference issued at submission</t>
  </si>
  <si>
    <t xml:space="preserve">FR-008</t>
  </si>
  <si>
    <t xml:space="preserve">SC-I-04</t>
  </si>
  <si>
    <t xml:space="preserve">Requester visibility of their own requests, current status and status history</t>
  </si>
  <si>
    <t xml:space="preserve">FR-010 to FR-012</t>
  </si>
  <si>
    <t xml:space="preserve">SC-I-05</t>
  </si>
  <si>
    <t xml:space="preserve">Staff work queue with search, filter and sort</t>
  </si>
  <si>
    <t xml:space="preserve">FR-013, FR-014</t>
  </si>
  <si>
    <t xml:space="preserve">SC-I-06</t>
  </si>
  <si>
    <t xml:space="preserve">Assignment and acceptance of ownership</t>
  </si>
  <si>
    <t xml:space="preserve">FR-015</t>
  </si>
  <si>
    <t xml:space="preserve">SC-I-07</t>
  </si>
  <si>
    <t xml:space="preserve">Controlled status transitions across a single agreed status model</t>
  </si>
  <si>
    <t xml:space="preserve">FR-016, FR-018 to FR-020</t>
  </si>
  <si>
    <t xml:space="preserve">SC-I-08</t>
  </si>
  <si>
    <t xml:space="preserve">Action and comment log separated into internal and requester-visible entries</t>
  </si>
  <si>
    <t xml:space="preserve">FR-017</t>
  </si>
  <si>
    <t xml:space="preserve">SC-I-09</t>
  </si>
  <si>
    <t xml:space="preserve">Coordinator-owned prioritisation</t>
  </si>
  <si>
    <t xml:space="preserve">FR-021</t>
  </si>
  <si>
    <t xml:space="preserve">SC-I-10</t>
  </si>
  <si>
    <t xml:space="preserve">Management view of open, overdue, resolved and closed counts, by category and status</t>
  </si>
  <si>
    <t xml:space="preserve">FR-022 to FR-024</t>
  </si>
  <si>
    <t xml:space="preserve">SC-I-11</t>
  </si>
  <si>
    <t xml:space="preserve">Append-only audit trail of status, assignment and priority changes</t>
  </si>
  <si>
    <t xml:space="preserve">FR-025, FR-026</t>
  </si>
  <si>
    <t xml:space="preserve">SC-I-12</t>
  </si>
  <si>
    <t xml:space="preserve">Maintenance of the controlled category list and user deactivation</t>
  </si>
  <si>
    <t xml:space="preserve">FR-027, FR-028</t>
  </si>
  <si>
    <t xml:space="preserve">SC-I-13</t>
  </si>
  <si>
    <t xml:space="preserve">In-application notification of acceptance, update, rejection and completion</t>
  </si>
  <si>
    <t xml:space="preserve">FR-009, FR-029</t>
  </si>
  <si>
    <t xml:space="preserve">SC-O-01</t>
  </si>
  <si>
    <t xml:space="preserve">Out of scope</t>
  </si>
  <si>
    <t xml:space="preserve">Migration of historical requests from email, spreadsheets, WhatsApp or paper records</t>
  </si>
  <si>
    <t xml:space="preserve">No controlled source data exists to migrate, and the quality of the informal records is unknown. Migrating unverified records would corrupt the reporting the platform exists to provide.</t>
  </si>
  <si>
    <t xml:space="preserve">SC-O-02</t>
  </si>
  <si>
    <t xml:space="preserve">Integration with the existing telephone, email or WhatsApp channels</t>
  </si>
  <si>
    <t xml:space="preserve">See the defended exclusion in s6.4. Re-admitting uncontrolled channels would recreate the fragmentation identified in the Master Brief s2.</t>
  </si>
  <si>
    <t xml:space="preserve">SC-O-03</t>
  </si>
  <si>
    <t xml:space="preserve">Native mobile applications</t>
  </si>
  <si>
    <t xml:space="preserve">A responsive web interface meets the stated requester need. A native application multiplies build, test, store-release and maintenance obligations across two additional platforms.</t>
  </si>
  <si>
    <t xml:space="preserve">SC-O-04</t>
  </si>
  <si>
    <t xml:space="preserve">Cost, procurement, work-order or contractor payment handling</t>
  </si>
  <si>
    <t xml:space="preserve">Outside the stated business need. Introduces financial data and a materially higher security and audit obligation.</t>
  </si>
  <si>
    <t xml:space="preserve">SC-O-05</t>
  </si>
  <si>
    <t xml:space="preserve">Anonymous public submission without an account</t>
  </si>
  <si>
    <t xml:space="preserve">Conflicts with FR-012 record isolation and with the accountability the platform exists to establish; also removes the ability to give the requester status visibility.</t>
  </si>
  <si>
    <t xml:space="preserve">SC-O-06</t>
  </si>
  <si>
    <t xml:space="preserve">External vendor SLA and contract management</t>
  </si>
  <si>
    <t xml:space="preserve">No stakeholder in the analysis owns this need.</t>
  </si>
  <si>
    <t xml:space="preserve">SC-D-01</t>
  </si>
  <si>
    <t xml:space="preserve">Deferred</t>
  </si>
  <si>
    <t xml:space="preserve">Email or SMS notification channel</t>
  </si>
  <si>
    <t xml:space="preserve">Requires an always-on background worker or scheduled job. Whether that is available within the cost constraint is unknown until the deployment platform is decided in M2. See FEC-03.  ||  Reconsider when: M2 platform decision confirms background-process support within free or low-cost limits</t>
  </si>
  <si>
    <t xml:space="preserve">SC-D-02</t>
  </si>
  <si>
    <t xml:space="preserve">File attachments on requests (for example a photograph of a fault)</t>
  </si>
  <si>
    <t xml:space="preserve">See the defended exclusion in s6.4.  ||  Reconsider when: Storage cost, content-type validation, malware scanning and a retention position are all specified and affordable</t>
  </si>
  <si>
    <t xml:space="preserve">SC-D-03</t>
  </si>
  <si>
    <t xml:space="preserve">Configurable per-category service targets and automated escalation</t>
  </si>
  <si>
    <t xml:space="preserve">The baseline uses a single organisation-wide response target so that 'overdue' has one unambiguous definition (FEC-02). Per-category targets multiply the reporting and test surface.  ||  Reconsider when: The organisation confirms differentiated targets are actually required and supplies the values</t>
  </si>
  <si>
    <t xml:space="preserve">SC-D-04</t>
  </si>
  <si>
    <t xml:space="preserve">Analytics dashboard with trend charts and data export</t>
  </si>
  <si>
    <t xml:space="preserve">Management need is met in the baseline by counts and breakdowns. Charting and export add build and verification cost that the schedule cannot absorb in M1 to M3.  ||  Reconsider when: Baseline reporting is delivered and stakeholder feedback confirms the gap</t>
  </si>
  <si>
    <t xml:space="preserve">SC-D-05</t>
  </si>
  <si>
    <t xml:space="preserve">Multi-site or multi-organisation separation</t>
  </si>
  <si>
    <t xml:space="preserve">Not required by the stated scenario, but it is a data-model property that cannot be added cheaply later. Recorded now so the M2 data design keeps the option open. See FEC-01.  ||  Reconsider when: The organisation confirms more than one site or tenant is in view</t>
  </si>
  <si>
    <t xml:space="preserve">SC-D-06</t>
  </si>
  <si>
    <t xml:space="preserve">Bulk import of historical requests</t>
  </si>
  <si>
    <t xml:space="preserve">Depends on SC-O-01 being reconsidered and on a source of acceptable quality being identified.  ||  Reconsider when: A controlled, quality-assessed source dataset is provided</t>
  </si>
  <si>
    <t xml:space="preserve">Functional requirements. Identifiers are stable once baselined and must not be renumbered: the RTM, risks and decisions all reference them (Master Brief s11).</t>
  </si>
  <si>
    <t xml:space="preserve">Requirement</t>
  </si>
  <si>
    <t xml:space="preserve">Source</t>
  </si>
  <si>
    <t xml:space="preserve">Priority</t>
  </si>
  <si>
    <t xml:space="preserve">Acceptance criteria</t>
  </si>
  <si>
    <t xml:space="preserve">Status</t>
  </si>
  <si>
    <t xml:space="preserve">FR-001</t>
  </si>
  <si>
    <t xml:space="preserve">The system shall require a registered user to authenticate with a unique identifier and secret before any service request data is returned.</t>
  </si>
  <si>
    <t xml:space="preserve">STK-06, STK-07</t>
  </si>
  <si>
    <t xml:space="preserve">Must</t>
  </si>
  <si>
    <t xml:space="preserve">GIVEN an unauthenticated visitor WHEN any protected page or endpoint is requested THEN no request data is returned and the visitor is redirected to sign-in. GIVEN valid credentials WHEN submitted THEN an authenticated session is established. GIVEN invalid credentials WHEN submitted THEN a single generic failure message is shown that does not reveal whether the identifier exists.</t>
  </si>
  <si>
    <t xml:space="preserve">Baselined</t>
  </si>
  <si>
    <t xml:space="preserve">FR-002</t>
  </si>
  <si>
    <t xml:space="preserve">The system shall enforce role-based access control for the roles Requester, Staff, Coordinator and Manager, with every permission decision made server-side.</t>
  </si>
  <si>
    <t xml:space="preserve">STK-03, STK-06</t>
  </si>
  <si>
    <t xml:space="preserve">For every role and function pair in the access matrix (PED Table 6.5), a user holding the role can invoke the permitted functions and receives an authorisation failure for every function not permitted to that role, including when the request is issued directly to the endpoint rather than through the interface.</t>
  </si>
  <si>
    <t xml:space="preserve">FR-003</t>
  </si>
  <si>
    <t xml:space="preserve">The system shall allow a Manager to create a user account and assign exactly one role to it.</t>
  </si>
  <si>
    <t xml:space="preserve">GIVEN a Manager WHEN a new account is created with a role THEN the account can authenticate and holds only that role's permissions. A non-Manager attempting account creation is refused.</t>
  </si>
  <si>
    <t xml:space="preserve">FR-004</t>
  </si>
  <si>
    <t xml:space="preserve">The system shall allow a user to reset a forgotten credential through a controlled process that does not disclose whether an account exists.</t>
  </si>
  <si>
    <t xml:space="preserve">Should</t>
  </si>
  <si>
    <t xml:space="preserve">GIVEN a reset request for any identifier WHEN submitted THEN the same confirmation message is shown whether or not the account exists. A reset link is single-use and expires within a defined period.</t>
  </si>
  <si>
    <t xml:space="preserve">FR-005</t>
  </si>
  <si>
    <t xml:space="preserve">The system shall allow a Requester to submit a service request capturing title, description, category, location and reported urgency.</t>
  </si>
  <si>
    <t xml:space="preserve">GIVEN a Requester with all mandatory fields completed WHEN the request is submitted THEN the request is persisted with status New and is visible in the Requester's own list. Every field captured is displayed unchanged on the request detail view.</t>
  </si>
  <si>
    <t xml:space="preserve">FR-006</t>
  </si>
  <si>
    <t xml:space="preserve">The system shall require the request category to be selected from a controlled list maintained by a Manager, and shall not accept a free-text category.</t>
  </si>
  <si>
    <t xml:space="preserve">STK-04, STK-05</t>
  </si>
  <si>
    <t xml:space="preserve">The category input offers only active categories from the controlled list. A submission carrying a category value that is not an active list entry is rejected with a validation error, including when submitted directly to the endpoint.</t>
  </si>
  <si>
    <t xml:space="preserve">FR-007</t>
  </si>
  <si>
    <t xml:space="preserve">The system shall validate mandatory fields and field formats before accepting a submission, and shall report each failure in a message that identifies the field and the correction needed.</t>
  </si>
  <si>
    <t xml:space="preserve">GIVEN a submission with a missing or invalid mandatory field WHEN submitted THEN the request is not persisted, each failing field is identified, and previously entered values are retained in the form.</t>
  </si>
  <si>
    <t xml:space="preserve">The system shall assign every accepted request a unique, human-readable reference that is never reused.</t>
  </si>
  <si>
    <t xml:space="preserve">STK-01, STK-03</t>
  </si>
  <si>
    <t xml:space="preserve">Each accepted submission receives a reference matching the agreed format. Two requests never share a reference. A reference is not reissued after a request is deleted or archived. The reference is displayed on submission and on every subsequent view of that request.</t>
  </si>
  <si>
    <t xml:space="preserve">FR-009</t>
  </si>
  <si>
    <t xml:space="preserve">The system shall present the Requester with an in-application acknowledgement on successful submission, showing the reference and the date and time recorded.</t>
  </si>
  <si>
    <t xml:space="preserve">GIVEN a successful submission WHEN the acknowledgement is displayed THEN it contains the reference and the recorded timestamp, and the same values appear on the request detail view.</t>
  </si>
  <si>
    <t xml:space="preserve">FR-010</t>
  </si>
  <si>
    <t xml:space="preserve">The system shall allow a Requester to view a list of their own requests showing reference, title, category, current status, submission date and date of last update.</t>
  </si>
  <si>
    <t xml:space="preserve">GIVEN a Requester with at least one request WHEN the list is opened THEN every request they submitted appears exactly once with all six fields populated, and no request submitted by another user appears.</t>
  </si>
  <si>
    <t xml:space="preserve">FR-011</t>
  </si>
  <si>
    <t xml:space="preserve">The system shall allow a Requester to view the full detail and status history of their own request, showing only entries marked requester-visible.</t>
  </si>
  <si>
    <t xml:space="preserve">STK-01, STK-02</t>
  </si>
  <si>
    <t xml:space="preserve">The detail view shows the request fields, the ordered status history with timestamps, and only those action entries marked requester-visible. No entry marked internal appears in the response payload, not only in the rendered page.</t>
  </si>
  <si>
    <t xml:space="preserve">FR-012</t>
  </si>
  <si>
    <t xml:space="preserve">The system shall prevent a Requester from retrieving any request they did not submit.</t>
  </si>
  <si>
    <t xml:space="preserve">STK-01, STK-07</t>
  </si>
  <si>
    <t xml:space="preserve">GIVEN Requester A and a request belonging to Requester B WHEN A requests that record by reference or identifier, through the interface or directly THEN access is refused and no field of the record is disclosed, including through an error message.</t>
  </si>
  <si>
    <t xml:space="preserve">FR-013</t>
  </si>
  <si>
    <t xml:space="preserve">The system shall present Staff and Coordinators with a work queue of requests within their authorised category scope.</t>
  </si>
  <si>
    <t xml:space="preserve">STK-02, STK-03</t>
  </si>
  <si>
    <t xml:space="preserve">GIVEN a Staff member authorised for a set of categories WHEN the queue is opened THEN every open request in those categories appears and no request outside them appears. A Coordinator sees all categories.</t>
  </si>
  <si>
    <t xml:space="preserve">FR-014</t>
  </si>
  <si>
    <t xml:space="preserve">The system shall allow the queue to be searched by reference and by keyword, filtered by status, category, assignee and date range, and sorted by submission date, last update and priority.</t>
  </si>
  <si>
    <t xml:space="preserve">Each named search, filter and sort returns only records satisfying the stated condition, filters combine, and an empty result set is reported as such rather than as an error.</t>
  </si>
  <si>
    <t xml:space="preserve">The system shall allow a Coordinator to assign a request to a Staff member, and a Staff member to accept an unassigned request within their authorised categories.</t>
  </si>
  <si>
    <t xml:space="preserve">GIVEN a Coordinator WHEN a request is assigned THEN the assignee is recorded and the request appears in that assignee's queue. GIVEN a Staff member and an unassigned request in their scope WHEN accepted THEN they become the assignee. A Staff member cannot assign a request to another user.</t>
  </si>
  <si>
    <t xml:space="preserve">FR-016</t>
  </si>
  <si>
    <t xml:space="preserve">The system shall permit a status change only where the transition is allowed by the request status model (PED Figure 2) and only by a role authorised for that transition.</t>
  </si>
  <si>
    <t xml:space="preserve">STK-03, STK-04</t>
  </si>
  <si>
    <t xml:space="preserve">For every ordered pair of statuses, a transition allowed by the model succeeds for an authorised role and every transition not in the model is refused, including when issued directly to the endpoint. A refused transition leaves the stored status unchanged.</t>
  </si>
  <si>
    <t xml:space="preserve">The system shall allow Staff and Coordinators to record a dated action entry against a request, marked either internal or requester-visible at the time of entry.</t>
  </si>
  <si>
    <t xml:space="preserve">An entry is stored with author, timestamp and visibility. Visibility must be chosen explicitly; there is no default that silently exposes an internal note. FR-011 governs what the Requester then sees.</t>
  </si>
  <si>
    <t xml:space="preserve">FR-018</t>
  </si>
  <si>
    <t xml:space="preserve">The system shall require a resolution summary before a request may move to Resolved.</t>
  </si>
  <si>
    <t xml:space="preserve">An attempt to move a request to Resolved without a non-empty resolution summary is refused with a validation message. On success the summary is stored and is requester-visible.</t>
  </si>
  <si>
    <t xml:space="preserve">FR-019</t>
  </si>
  <si>
    <t xml:space="preserve">The system shall allow only a Coordinator or Manager to move a Resolved request to Closed.</t>
  </si>
  <si>
    <t xml:space="preserve">A Coordinator or Manager can close a Resolved request. A Staff member or Requester attempting the same transition is refused. Closing is recorded in the audit trail.</t>
  </si>
  <si>
    <t xml:space="preserve">FR-020</t>
  </si>
  <si>
    <t xml:space="preserve">The system shall allow a Coordinator to reject a request with a mandatory reason that is shown to the Requester.</t>
  </si>
  <si>
    <t xml:space="preserve">STK-03, STK-01</t>
  </si>
  <si>
    <t xml:space="preserve">Rejection without a reason is refused. On rejection the status becomes Rejected, the reason is stored and appears on the Requester's detail view, and the event is audited.</t>
  </si>
  <si>
    <t xml:space="preserve">The system shall record the Requester's reported urgency as a separate attribute from the priority, and shall allow only a Coordinator to set or change the priority.</t>
  </si>
  <si>
    <t xml:space="preserve">Reported urgency is captured at submission and is not editable by Staff or Coordinators. Priority is absent until set by a Coordinator. A Requester or Staff member attempting to change priority is refused. Both values are visible to Coordinators.</t>
  </si>
  <si>
    <t xml:space="preserve">FR-022</t>
  </si>
  <si>
    <t xml:space="preserve">The system shall present a Manager with counts of open, overdue, resolved and closed requests for a selected period.</t>
  </si>
  <si>
    <t xml:space="preserve">For a seeded dataset with known values, each of the four counts equals the independently calculated value. Overdue uses the single organisation-wide response target defined in the status model.</t>
  </si>
  <si>
    <t xml:space="preserve">FR-023</t>
  </si>
  <si>
    <t xml:space="preserve">The system shall present the request counts broken down by category and by status.</t>
  </si>
  <si>
    <t xml:space="preserve">The breakdown totals reconcile exactly to the totals in FR-022 for the same period and filters.</t>
  </si>
  <si>
    <t xml:space="preserve">FR-024</t>
  </si>
  <si>
    <t xml:space="preserve">The system shall list overdue requests with reference, category, age and current assignee.</t>
  </si>
  <si>
    <t xml:space="preserve">Every request whose age against the response target exceeds the threshold appears exactly once with all four fields populated; no request within the target appears.</t>
  </si>
  <si>
    <t xml:space="preserve">FR-025</t>
  </si>
  <si>
    <t xml:space="preserve">The system shall record an audit entry for every change of status, assignee and priority, capturing the actor, timestamp, previous value and new value.</t>
  </si>
  <si>
    <t xml:space="preserve">STK-04, STK-07</t>
  </si>
  <si>
    <t xml:space="preserve">For each of the three change types, performing the change creates exactly one audit entry containing all four fields, and the previous value matches the value held immediately before the change.</t>
  </si>
  <si>
    <t xml:space="preserve">FR-026</t>
  </si>
  <si>
    <t xml:space="preserve">The system shall not provide any application function that edits or deletes an audit entry.</t>
  </si>
  <si>
    <t xml:space="preserve">No interface or endpoint accepts an update or delete against an audit entry. Attempted modification through an exposed route is refused. Verified by review of the access matrix and by negative test.</t>
  </si>
  <si>
    <t xml:space="preserve">FR-027</t>
  </si>
  <si>
    <t xml:space="preserve">The system shall allow a Manager to add, rename and deactivate a category, and shall not permit deletion of a category that is referenced by any request.</t>
  </si>
  <si>
    <t xml:space="preserve">A deactivated category is unavailable for new submissions and remains displayed correctly on existing requests. An attempt to delete a referenced category is refused with an explanatory message.</t>
  </si>
  <si>
    <t xml:space="preserve">FR-028</t>
  </si>
  <si>
    <t xml:space="preserve">The system shall allow a Manager to deactivate a user account so that it can no longer authenticate, while preserving that user's historical records and audit entries.</t>
  </si>
  <si>
    <t xml:space="preserve">Could</t>
  </si>
  <si>
    <t xml:space="preserve">A deactivated account cannot authenticate. Requests, action entries and audit entries authored by that account remain visible and correctly attributed.</t>
  </si>
  <si>
    <t xml:space="preserve">FR-029</t>
  </si>
  <si>
    <t xml:space="preserve">The system shall present the Requester with an in-application indication when a request they submitted is accepted, updated, rejected or completed.</t>
  </si>
  <si>
    <t xml:space="preserve">Following each of the four events, an indication is available to the Requester on next sign-in that identifies the request by reference and the event that occurred.</t>
  </si>
  <si>
    <t xml:space="preserve">Non-functional requirements. Every target states a number and a measurement method, because a quality claim without evidence is not accepted (Master Brief s15, s23).</t>
  </si>
  <si>
    <t xml:space="preserve">Quality characteristic (ISO/IEC 25010:2023)</t>
  </si>
  <si>
    <t xml:space="preserve">Measurable target</t>
  </si>
  <si>
    <t xml:space="preserve">How it is measured</t>
  </si>
  <si>
    <t xml:space="preserve">NFR-001</t>
  </si>
  <si>
    <t xml:space="preserve">Performance efficiency</t>
  </si>
  <si>
    <t xml:space="preserve">Staff queue retrieval shall remain responsive at the baselined data volume.</t>
  </si>
  <si>
    <t xml:space="preserve">95th percentile response under 2.0 seconds for a queue of 5 000 requests returning the first page</t>
  </si>
  <si>
    <t xml:space="preserve">20 timed retrievals against a seeded 5 000-request dataset on the target environment; record the distribution, not the mean</t>
  </si>
  <si>
    <t xml:space="preserve">NFR-002</t>
  </si>
  <si>
    <t xml:space="preserve">Request submission shall confirm quickly enough that the Requester does not resubmit.</t>
  </si>
  <si>
    <t xml:space="preserve">95th percentile under 3.0 seconds from submit to acknowledgement</t>
  </si>
  <si>
    <t xml:space="preserve">20 timed submissions on the target environment under normal conditions</t>
  </si>
  <si>
    <t xml:space="preserve">NFR-003</t>
  </si>
  <si>
    <t xml:space="preserve">Reliability</t>
  </si>
  <si>
    <t xml:space="preserve">The service shall be available during published service hours.</t>
  </si>
  <si>
    <t xml:space="preserve">98 percent availability measured across published service hours (weekdays 07:00 to 17:00 SAST), assessed monthly</t>
  </si>
  <si>
    <t xml:space="preserve">External uptime probe at 5-minute intervals against a health endpoint; monthly report. The target is deliberately scoped to service hours because of CON-03; see the trade-off in s7.1 and RSK-02</t>
  </si>
  <si>
    <t xml:space="preserve">NFR-004</t>
  </si>
  <si>
    <t xml:space="preserve">Security</t>
  </si>
  <si>
    <t xml:space="preserve">Authentication secrets shall not be recoverable from stored data.</t>
  </si>
  <si>
    <t xml:space="preserve">Stored using a current, deliberately slow password hashing function with a per-user salt; no plaintext, reversible or unsalted storage anywhere</t>
  </si>
  <si>
    <t xml:space="preserve">Inspection of stored values in a test environment plus code review recorded on the Pull Request; supported by NIST (2022) practice PW.4</t>
  </si>
  <si>
    <t xml:space="preserve">NFR-005</t>
  </si>
  <si>
    <t xml:space="preserve">Authorisation shall be enforced on the server for every protected function.</t>
  </si>
  <si>
    <t xml:space="preserve">Zero successful accesses across the full negative-test matrix of role and function pairs</t>
  </si>
  <si>
    <t xml:space="preserve">Automated negative tests derived from the access matrix, executed directly against endpoints rather than through the interface; addresses OWASP A01:2025 (OWASP, 2025)</t>
  </si>
  <si>
    <t xml:space="preserve">NFR-006</t>
  </si>
  <si>
    <t xml:space="preserve">All traffic between client and service shall be encrypted in transit.</t>
  </si>
  <si>
    <t xml:space="preserve">100 percent of requests served over HTTPS; plain HTTP redirected; no mixed content</t>
  </si>
  <si>
    <t xml:space="preserve">Automated check of scheme and redirect behaviour in the deployment verification step</t>
  </si>
  <si>
    <t xml:space="preserve">NFR-007</t>
  </si>
  <si>
    <t xml:space="preserve">No credential, key or token shall be present in the repository or its history.</t>
  </si>
  <si>
    <t xml:space="preserve">Zero findings from secret scanning across the full commit history</t>
  </si>
  <si>
    <t xml:space="preserve">Automated secret scanning on every Pull Request plus a full-history scan before each baseline; addresses Master Brief s9</t>
  </si>
  <si>
    <t xml:space="preserve">NFR-008</t>
  </si>
  <si>
    <t xml:space="preserve">Personal information shall be limited to what the service requires and shall be accessible only to roles that need it.</t>
  </si>
  <si>
    <t xml:space="preserve">Only name, contact detail and request content are stored as personal information; every field is justified in the data inventory; access is governed by the FR-002 access matrix</t>
  </si>
  <si>
    <t xml:space="preserve">Data inventory reviewed at each baseline against the access matrix; POPIA s19 requires appropriate, reasonable technical and organisational measures (Republic of South Africa, 2013)</t>
  </si>
  <si>
    <t xml:space="preserve">NFR-009</t>
  </si>
  <si>
    <t xml:space="preserve">Interaction capability</t>
  </si>
  <si>
    <t xml:space="preserve">A first-time Requester shall be able to submit a request without training or assistance.</t>
  </si>
  <si>
    <t xml:space="preserve">At least 4 of 5 representative first-time users complete a submission unaided within 3 minutes</t>
  </si>
  <si>
    <t xml:space="preserve">Moderated task test with 5 participants who have not seen the system; record completion, time and observed errors</t>
  </si>
  <si>
    <t xml:space="preserve">NFR-010</t>
  </si>
  <si>
    <t xml:space="preserve">The interface shall be operable without a mouse and legible to users with low vision.</t>
  </si>
  <si>
    <t xml:space="preserve">All interactive controls reachable and operable by keyboard with a visible focus indicator; every form control programmatically labelled; body text contrast at least 4.5:1</t>
  </si>
  <si>
    <t xml:space="preserve">Keyboard traversal of each primary flow plus automated contrast and label checks, against the WCAG 2.2 Level AA criteria cited (W3C, 2023)</t>
  </si>
  <si>
    <t xml:space="preserve">NFR-011</t>
  </si>
  <si>
    <t xml:space="preserve">Functional suitability</t>
  </si>
  <si>
    <t xml:space="preserve">Every change to status, assignee or priority shall produce an audit record.</t>
  </si>
  <si>
    <t xml:space="preserve">100 percent of such changes produce exactly one complete audit entry; no orphaned or partial entries</t>
  </si>
  <si>
    <t xml:space="preserve">Automated test asserting audit entry creation for each change type, plus a reconciliation query comparing change counts to audit counts</t>
  </si>
  <si>
    <t xml:space="preserve">NFR-012</t>
  </si>
  <si>
    <t xml:space="preserve">Maintainability</t>
  </si>
  <si>
    <t xml:space="preserve">The team shall be able to change the system without silently breaking committed behaviour.</t>
  </si>
  <si>
    <t xml:space="preserve">Automated tests covering every Must-priority functional requirement pass on every Pull Request before merge is permitted</t>
  </si>
  <si>
    <t xml:space="preserve">Pull Request check status; the requirement-to-test mapping is held in the RTM. Which tooling provides this is an M2 and M3 decision, not an M1 commitment</t>
  </si>
  <si>
    <t xml:space="preserve">NFR-013</t>
  </si>
  <si>
    <t xml:space="preserve">Flexibility</t>
  </si>
  <si>
    <t xml:space="preserve">The service shall operate within the cost ceiling set by CON-03.</t>
  </si>
  <si>
    <t xml:space="preserve">Running cost of zero within free-tier limits for the assessed period, with documented limits and the projected cost beyond the educational context</t>
  </si>
  <si>
    <t xml:space="preserve">Platform limit documentation captured in the M2 decision record plus a recorded cost review before production release; unsupported claims that a platform is free are not acceptable (Master Brief, s23)</t>
  </si>
  <si>
    <t xml:space="preserve">Constraints and their consequences. The interaction between CON-02, CON-03 and NFR-003 is worked through in PED v1.0 s7.1.</t>
  </si>
  <si>
    <t xml:space="preserve">Constraint</t>
  </si>
  <si>
    <t xml:space="preserve">Engineering implication</t>
  </si>
  <si>
    <t xml:space="preserve">CON-01</t>
  </si>
  <si>
    <t xml:space="preserve">Scope</t>
  </si>
  <si>
    <t xml:space="preserve">The minimum business capabilities in Master Brief s3 are non-negotiable. Committed scope is baselined at PED v1.0 and may change only through the change control in Master Brief s14.</t>
  </si>
  <si>
    <t xml:space="preserve">Fixes the floor of the requirement set. Any addition must be paid for from schedule, and the team has no schedule reserve, so additions displace other committed work rather than extending the deadline.</t>
  </si>
  <si>
    <t xml:space="preserve">CON-02</t>
  </si>
  <si>
    <t xml:space="preserve">Schedule</t>
  </si>
  <si>
    <t xml:space="preserve">Four assessed milestones within the SEN381 delivery period. The team works on CivicConnect alongside other modules, so available engineering time is bounded and uneven across the term.</t>
  </si>
  <si>
    <t xml:space="preserve">The binding constraint on scope. It is the reason SC-D-01 to SC-D-06 are deferred rather than attempted, and the reason quality gates are defined now: under schedule pressure, testing and security are the first things silently dropped (Master Brief, s18).</t>
  </si>
  <si>
    <t xml:space="preserve">CON-03</t>
  </si>
  <si>
    <t xml:space="preserve">Cost and resources</t>
  </si>
  <si>
    <t xml:space="preserve">Free or low-cost services are preferred. Limitations and likely operational cost beyond the educational context must be identified (Master Brief, s4). Three students; no budget for paid tiers or paid tooling.</t>
  </si>
  <si>
    <t xml:space="preserve">Directly limits the availability target in NFR-003 and the feasibility of SC-D-01. See the worked trade-off in s7.1.</t>
  </si>
  <si>
    <t xml:space="preserve">CON-04</t>
  </si>
  <si>
    <t xml:space="preserve">Quality</t>
  </si>
  <si>
    <t xml:space="preserve">Quality attributes must be measurable and supported by evidence, not asserted (Master Brief, s4 and s15).</t>
  </si>
  <si>
    <t xml:space="preserve">Every NFR in s6.3 carries a stated measurement method. An attribute the team cannot measure within the constraints was either made measurable or removed.</t>
  </si>
  <si>
    <t xml:space="preserve">CON-05</t>
  </si>
  <si>
    <t xml:space="preserve">Security is a lifecycle-wide responsibility (Master Brief, s16). The system holds personal information, which engages POPIA s19 (Republic of South Africa, 2013).</t>
  </si>
  <si>
    <t xml:space="preserve">Constrains the data model (FEC-01), test data (FEC-04) and the deferral of attachments (s6.4). Security requirements appear in the baseline as NFR-004 to NFR-008, not as a later hardening task.</t>
  </si>
  <si>
    <t xml:space="preserve">CON-06</t>
  </si>
  <si>
    <t xml:space="preserve">Team capability</t>
  </si>
  <si>
    <t xml:space="preserve">Three students with prior exposure to programming, databases and web development, and limited exposure to controlled team engineering at this scale. Capability is stated honestly here because it is a real input to the M2 technology decision (Master Brief, s18.1).</t>
  </si>
  <si>
    <t xml:space="preserve">Bounds which architectures and stacks are realistically buildable and supportable. An unfamiliar stack converts schedule into learning time. See RSK-01.</t>
  </si>
  <si>
    <t xml:space="preserve">CON-07</t>
  </si>
  <si>
    <t xml:space="preserve">Platform availability</t>
  </si>
  <si>
    <t xml:space="preserve">Belgium Campus cannot guarantee that a chosen language, framework, service or deployment platform is installed, available or supported on the BC Desktop platform (Master Brief, s25).</t>
  </si>
  <si>
    <t xml:space="preserve">Makes environment availability a precondition of the M2 technology decision rather than a discovery during construction. Recorded as RSK-02 and as a criterion in DEC-008.</t>
  </si>
  <si>
    <t xml:space="preserve">CON-08</t>
  </si>
  <si>
    <t xml:space="preserve">Process and governance</t>
  </si>
  <si>
    <t xml:space="preserve">Protected main, Pull Requests for substantive change and a minimum of two approvals from members other than the author (Master Brief, s9).</t>
  </si>
  <si>
    <t xml:space="preserve">With three members this means every merge needs both other members. It is a quality control and a throughput constraint at the same time. See RSK-04 and FEC-07.</t>
  </si>
  <si>
    <t xml:space="preserve">Requirements Traceability Matrix. Columns H to L are deliberately empty at M1: they are filled as design, implementation, test and release evidence is produced. Do not delete them.</t>
  </si>
  <si>
    <t xml:space="preserve">RTM ID</t>
  </si>
  <si>
    <t xml:space="preserve">Source (stakeholder / brief)</t>
  </si>
  <si>
    <t xml:space="preserve">Req ID</t>
  </si>
  <si>
    <t xml:space="preserve">Requirement summary</t>
  </si>
  <si>
    <t xml:space="preserve">Related risk / FEC</t>
  </si>
  <si>
    <t xml:space="preserve">Design ref (M2)</t>
  </si>
  <si>
    <t xml:space="preserve">Issue / PR (M3)</t>
  </si>
  <si>
    <t xml:space="preserve">Implementation (M3)</t>
  </si>
  <si>
    <t xml:space="preserve">Test ref (M3)</t>
  </si>
  <si>
    <t xml:space="preserve">Release evidence (M4)</t>
  </si>
  <si>
    <t xml:space="preserve">TR-001</t>
  </si>
  <si>
    <t xml:space="preserve">The system shall require a registered user to authenticate with a unique identifier and secret before any service requ...</t>
  </si>
  <si>
    <t xml:space="preserve">See requirements register</t>
  </si>
  <si>
    <t xml:space="preserve">RSK-05</t>
  </si>
  <si>
    <t xml:space="preserve">Pending M2</t>
  </si>
  <si>
    <t xml:space="preserve">Pending M3</t>
  </si>
  <si>
    <t xml:space="preserve">Pending M4</t>
  </si>
  <si>
    <t xml:space="preserve">TR-002</t>
  </si>
  <si>
    <t xml:space="preserve">The system shall enforce role-based access control for the roles Requester, Staff, Coordinator and Manager, with every...</t>
  </si>
  <si>
    <t xml:space="preserve">RSK-05, FEC-01</t>
  </si>
  <si>
    <t xml:space="preserve">TR-003</t>
  </si>
  <si>
    <t xml:space="preserve">-</t>
  </si>
  <si>
    <t xml:space="preserve">TR-004</t>
  </si>
  <si>
    <t xml:space="preserve">The system shall allow a user to reset a forgotten credential through a controlled process that does not disclose whet...</t>
  </si>
  <si>
    <t xml:space="preserve">TR-005</t>
  </si>
  <si>
    <t xml:space="preserve">The system shall allow a Requester to submit a service request capturing title, description, category, location and re...</t>
  </si>
  <si>
    <t xml:space="preserve">TR-006</t>
  </si>
  <si>
    <t xml:space="preserve">The system shall require the request category to be selected from a controlled list maintained by a Manager, and shall...</t>
  </si>
  <si>
    <t xml:space="preserve">FEC-02</t>
  </si>
  <si>
    <t xml:space="preserve">TR-007</t>
  </si>
  <si>
    <t xml:space="preserve">The system shall validate mandatory fields and field formats before accepting a submission, and shall report each fail...</t>
  </si>
  <si>
    <t xml:space="preserve">TR-008</t>
  </si>
  <si>
    <t xml:space="preserve">TR-009</t>
  </si>
  <si>
    <t xml:space="preserve">The system shall present the Requester with an in-application acknowledgement on successful submission, showing the re...</t>
  </si>
  <si>
    <t xml:space="preserve">TR-010</t>
  </si>
  <si>
    <t xml:space="preserve">The system shall allow a Requester to view a list of their own requests showing reference, title, category, current st...</t>
  </si>
  <si>
    <t xml:space="preserve">TR-011</t>
  </si>
  <si>
    <t xml:space="preserve">The system shall allow a Requester to view the full detail and status history of their own request, showing only entri...</t>
  </si>
  <si>
    <t xml:space="preserve">TR-012</t>
  </si>
  <si>
    <t xml:space="preserve">TR-013</t>
  </si>
  <si>
    <t xml:space="preserve">FEC-01</t>
  </si>
  <si>
    <t xml:space="preserve">TR-014</t>
  </si>
  <si>
    <t xml:space="preserve">The system shall allow the queue to be searched by reference and by keyword, filtered by status, category, assignee an...</t>
  </si>
  <si>
    <t xml:space="preserve">FEC-06</t>
  </si>
  <si>
    <t xml:space="preserve">TR-015</t>
  </si>
  <si>
    <t xml:space="preserve">The system shall allow a Coordinator to assign a request to a Staff member, and a Staff member to accept an unassigned...</t>
  </si>
  <si>
    <t xml:space="preserve">TR-016</t>
  </si>
  <si>
    <t xml:space="preserve">The system shall permit a status change only where the transition is allowed by the request status model (PED Figure 2...</t>
  </si>
  <si>
    <t xml:space="preserve">RSK-09, FEC-02</t>
  </si>
  <si>
    <t xml:space="preserve">TR-017</t>
  </si>
  <si>
    <t xml:space="preserve">The system shall allow Staff and Coordinators to record a dated action entry against a request, marked either internal...</t>
  </si>
  <si>
    <t xml:space="preserve">TR-018</t>
  </si>
  <si>
    <t xml:space="preserve">TR-019</t>
  </si>
  <si>
    <t xml:space="preserve">TR-020</t>
  </si>
  <si>
    <t xml:space="preserve">TR-021</t>
  </si>
  <si>
    <t xml:space="preserve">The system shall record the Requester's reported urgency as a separate attribute from the priority, and shall allow on...</t>
  </si>
  <si>
    <t xml:space="preserve">TR-022</t>
  </si>
  <si>
    <t xml:space="preserve">RSK-09, FEC-02, FEC-06</t>
  </si>
  <si>
    <t xml:space="preserve">TR-023</t>
  </si>
  <si>
    <t xml:space="preserve">TR-024</t>
  </si>
  <si>
    <t xml:space="preserve">TR-025</t>
  </si>
  <si>
    <t xml:space="preserve">The system shall record an audit entry for every change of status, assignee and priority, capturing the actor, timesta...</t>
  </si>
  <si>
    <t xml:space="preserve">TR-026</t>
  </si>
  <si>
    <t xml:space="preserve">TR-027</t>
  </si>
  <si>
    <t xml:space="preserve">The system shall allow a Manager to add, rename and deactivate a category, and shall not permit deletion of a category...</t>
  </si>
  <si>
    <t xml:space="preserve">TR-028</t>
  </si>
  <si>
    <t xml:space="preserve">The system shall allow a Manager to deactivate a user account so that it can no longer authenticate, while preserving ...</t>
  </si>
  <si>
    <t xml:space="preserve">TR-029</t>
  </si>
  <si>
    <t xml:space="preserve">The system shall present the Requester with an in-application indication when a request they submitted is accepted, up...</t>
  </si>
  <si>
    <t xml:space="preserve">TR-030</t>
  </si>
  <si>
    <t xml:space="preserve">FEC-04, FEC-06</t>
  </si>
  <si>
    <t xml:space="preserve">TR-031</t>
  </si>
  <si>
    <t xml:space="preserve">TR-032</t>
  </si>
  <si>
    <t xml:space="preserve">RSK-02, FEC-05</t>
  </si>
  <si>
    <t xml:space="preserve">TR-033</t>
  </si>
  <si>
    <t xml:space="preserve">TR-034</t>
  </si>
  <si>
    <t xml:space="preserve">TR-035</t>
  </si>
  <si>
    <t xml:space="preserve">TR-036</t>
  </si>
  <si>
    <t xml:space="preserve">RSK-11</t>
  </si>
  <si>
    <t xml:space="preserve">TR-037</t>
  </si>
  <si>
    <t xml:space="preserve">RSK-05, RSK-10, FEC-04</t>
  </si>
  <si>
    <t xml:space="preserve">TR-038</t>
  </si>
  <si>
    <t xml:space="preserve">TR-039</t>
  </si>
  <si>
    <t xml:space="preserve">TR-040</t>
  </si>
  <si>
    <t xml:space="preserve">RSK-09</t>
  </si>
  <si>
    <t xml:space="preserve">TR-041</t>
  </si>
  <si>
    <t xml:space="preserve">RSK-03</t>
  </si>
  <si>
    <t xml:space="preserve">TR-042</t>
  </si>
  <si>
    <t xml:space="preserve">Live risk register, reviewed at every milestone (Master Brief s12). Exposure and Priority are formulas: change Probability or Impact and they recalculate.</t>
  </si>
  <si>
    <t xml:space="preserve">Risk ID</t>
  </si>
  <si>
    <t xml:space="preserve">Description</t>
  </si>
  <si>
    <t xml:space="preserve">Cause</t>
  </si>
  <si>
    <t xml:space="preserve">Probability (1-5)</t>
  </si>
  <si>
    <t xml:space="preserve">Impact (1-5)</t>
  </si>
  <si>
    <t xml:space="preserve">Exposure</t>
  </si>
  <si>
    <t xml:space="preserve">Mitigation</t>
  </si>
  <si>
    <t xml:space="preserve">Contingency</t>
  </si>
  <si>
    <t xml:space="preserve">Links</t>
  </si>
  <si>
    <t xml:space="preserve">RSK-01</t>
  </si>
  <si>
    <t xml:space="preserve">The team does not reach working competence in the selected stack early enough to build the committed scope, and construction time is consumed by learning.</t>
  </si>
  <si>
    <t xml:space="preserve">Technology selection is deferred to M2 (DEC-008) and the team has limited prior exposure to controlled team engineering at this scale (CON-06).</t>
  </si>
  <si>
    <t xml:space="preserve">Make team capability an explicitly weighted criterion in the M2 technology decision. Run a timeboxed proof of concept covering authentication, one persisted entity and one automated test before committing. Prefer a stack in which at least two of three members have prior exposure.</t>
  </si>
  <si>
    <t xml:space="preserve">Reduce committed scope to Must-priority requirements only, through a controlled change request, and record the trade-off rather than absorbing it silently.</t>
  </si>
  <si>
    <t xml:space="preserve">[Member 1]</t>
  </si>
  <si>
    <t xml:space="preserve">Open</t>
  </si>
  <si>
    <t xml:space="preserve">DEC-008, CON-06, FEC-07</t>
  </si>
  <si>
    <t xml:space="preserve">RSK-02</t>
  </si>
  <si>
    <t xml:space="preserve">The chosen platform's free tier proves unable to meet the availability or background-processing needs, or its terms change during the project.</t>
  </si>
  <si>
    <t xml:space="preserve">Cost constraint CON-03 pushes the team to free tiers, whose idle behaviour, quotas and continuity are outside the team's control. Institutional platform support is not guaranteed (CON-07).</t>
  </si>
  <si>
    <t xml:space="preserve">Record platform limits as explicit criteria in DEC-010 before committing. Verify cold-start and idle behaviour against NFR-003 during M2. Keep the deployment target portable by avoiding platform-specific services in the baseline.</t>
  </si>
  <si>
    <t xml:space="preserve">Fall back to a second shortlisted platform identified in M2; if unavailable, revise NFR-003 through change control and record the residual risk rather than restating the target.</t>
  </si>
  <si>
    <t xml:space="preserve">[Member 2]</t>
  </si>
  <si>
    <t xml:space="preserve">CON-03, CON-07, NFR-003, NFR-013, FEC-05</t>
  </si>
  <si>
    <t xml:space="preserve">The formal client change request scheduled for M3 arrives against an unchanged deadline and destabilises the baseline.</t>
  </si>
  <si>
    <t xml:space="preserve">Master Brief s20.3 states that M3 includes a formal lecturer or client change request and impact analysis. This is a certainty, not a possibility.</t>
  </si>
  <si>
    <t xml:space="preserve">Treat the change as planned work. Keep the RTM complete so impact analysis is a lookup rather than an investigation. Hold the Appendix E impact template ready. Keep Should and Could priority items as the intended absorption buffer so that a change displaces deferred work rather than Must-priority work.</t>
  </si>
  <si>
    <t xml:space="preserve">Apply the change control process in Master Brief s14, record scope displacement explicitly, and seek approval for the resulting scope change rather than compressing verification.</t>
  </si>
  <si>
    <t xml:space="preserve">[Member 3]</t>
  </si>
  <si>
    <t xml:space="preserve">CON-01, CON-02, RTM</t>
  </si>
  <si>
    <t xml:space="preserve">RSK-04</t>
  </si>
  <si>
    <t xml:space="preserve">Controlled change stalls because the mandatory two-approval rule cannot be satisfied when a member is unavailable.</t>
  </si>
  <si>
    <t xml:space="preserve">CON-08 requires two approvals from members other than the author. With exactly three members, every merge requires both remaining members, so one absence blocks all controlled change.</t>
  </si>
  <si>
    <t xml:space="preserve">Agree a 24-hour review turnaround in the Team Working Agreement. Keep Pull Requests small and single-purpose so review is quick. Schedule two fixed review windows per week that all three members hold open.</t>
  </si>
  <si>
    <t xml:space="preserve">Where an absence is known in advance, front-load merges before it. Where it is unplanned, record the blockage and its schedule effect rather than bypassing the control or rubber-stamping, which may receive no credit (Master Brief, s9).</t>
  </si>
  <si>
    <t xml:space="preserve">CON-08, FEC-07</t>
  </si>
  <si>
    <t xml:space="preserve">Personal information held in service requests is disclosed to a user who is not entitled to see it.</t>
  </si>
  <si>
    <t xml:space="preserve">Requests contain requester identity, contact detail and free-text description that may include sensitive circumstances. Record-level isolation (FR-012) and internal note separation (FR-011) are data-model properties, not interface behaviour.</t>
  </si>
  <si>
    <t xml:space="preserve">Enforce authorisation server-side for every function (NFR-005). Derive negative tests directly from the access matrix. Treat record-level scope as an M2 data design input (FEC-01). Minimise stored personal information (NFR-008).</t>
  </si>
  <si>
    <t xml:space="preserve">Contain by revoking the affected access, record the incident, assess notification obligations under POPIA, and raise a defect with the highest severity.</t>
  </si>
  <si>
    <t xml:space="preserve">FR-011, FR-012, NFR-005, NFR-008, CON-05, FEC-01</t>
  </si>
  <si>
    <t xml:space="preserve">RSK-06</t>
  </si>
  <si>
    <t xml:space="preserve">Committed scope grows without control and the team delivers a larger unfinished system instead of a smaller complete one.</t>
  </si>
  <si>
    <t xml:space="preserve">Additional features are permitted where justified (Master Brief, s3.1), and the visible reward for adding a feature is more immediate than the cost of specifying, securing, testing, documenting and maintaining it.</t>
  </si>
  <si>
    <t xml:space="preserve">Baseline scope at PED v1.0 with an explicit deferred list (s6.3) so that a new idea has a recorded home other than the current sprint. Require any addition to enter through change control with an impact analysis.</t>
  </si>
  <si>
    <t xml:space="preserve">Where uncontrolled work is discovered, stop it, assess it through Appendix E, and either approve it with an explicit displacement or return it to the deferred list.</t>
  </si>
  <si>
    <t xml:space="preserve">CON-01, SC-D-01 to SC-D-06</t>
  </si>
  <si>
    <t xml:space="preserve">RSK-07</t>
  </si>
  <si>
    <t xml:space="preserve">A registered member becomes unavailable and the team loses both delivery capacity and that member's contribution evidence.</t>
  </si>
  <si>
    <t xml:space="preserve">Illness or other exceptional circumstance, against a fixed milestone calendar and an individually assessed presentation requirement (Master Brief, s25).</t>
  </si>
  <si>
    <t xml:space="preserve">Rotate authorship so that no artefact has a single owner. Require all three members to review across the whole artefact set, not only their own area. Keep the PED and registers current so any member can present any artefact.</t>
  </si>
  <si>
    <t xml:space="preserve">Follow the institutional process for an approved later presentation date. Redistribute committed work through the change process and record the schedule effect.</t>
  </si>
  <si>
    <t xml:space="preserve">CON-02, CON-06</t>
  </si>
  <si>
    <t xml:space="preserve">RSK-08</t>
  </si>
  <si>
    <t xml:space="preserve">Repository history does not show authentic progressive engineering, and controlled evidence is discounted despite the software working.</t>
  </si>
  <si>
    <t xml:space="preserve">Documentation work feels separable from the repository, so artefacts accumulate locally and are pushed in bulk near a deadline. Master Brief s23 states that reconstructed evidence may receive limited or no credit.</t>
  </si>
  <si>
    <t xml:space="preserve">Place the PED and every register in the repository from the first week of M1 and change them through Pull Requests like code. Link commits to issues. Review the commit and Pull Request history as a team at each weekly checkpoint.</t>
  </si>
  <si>
    <t xml:space="preserve">None available after the fact. This risk cannot be mitigated retrospectively, which is why its mitigation is entirely preventive.</t>
  </si>
  <si>
    <t xml:space="preserve">CON-08, Master Brief s3.1 (M1)</t>
  </si>
  <si>
    <t xml:space="preserve">The request status model proves ambiguous or incomplete after data exists, and management reporting becomes unreliable.</t>
  </si>
  <si>
    <t xml:space="preserve">Reporting in FR-022 to FR-024 derives entirely from status and timestamps. A state added or redefined after go-live cannot be applied retrospectively to historical records.</t>
  </si>
  <si>
    <t xml:space="preserve">Agree and baseline the status model now (Figure 2) with every transition and its authorised role enumerated. Define overdue against a single organisation-wide target (SC-D-03). Test every non-permitted transition as well as every permitted one (FR-016).</t>
  </si>
  <si>
    <t xml:space="preserve">Treat a model change as a controlled change with an explicit data-migration and reporting-continuity analysis under Appendix E.</t>
  </si>
  <si>
    <t xml:space="preserve">FR-016, FR-022, FEC-02</t>
  </si>
  <si>
    <t xml:space="preserve">RSK-10</t>
  </si>
  <si>
    <t xml:space="preserve">Real personal information is copied into a development, test or staging environment.</t>
  </si>
  <si>
    <t xml:space="preserve">Realistic data is convenient for testing reporting and queue behaviour, and staging is intended to resemble production (Master Brief, s17).</t>
  </si>
  <si>
    <t xml:space="preserve">Commit now to generated test data only. Build the seeding approach as a project artefact in M2 so the convenient path and the correct path are the same one (FEC-04).</t>
  </si>
  <si>
    <t xml:space="preserve">Purge the affected environment, rotate any exposed credential, and record the event and its POPIA implications.</t>
  </si>
  <si>
    <t xml:space="preserve">CON-05, NFR-008, FEC-04</t>
  </si>
  <si>
    <t xml:space="preserve">A credential, key or token is committed to the repository.</t>
  </si>
  <si>
    <t xml:space="preserve">Configuration is needed to run locally, and the fastest way to share it between three developers is to commit it.</t>
  </si>
  <si>
    <t xml:space="preserve">Agree the configuration and secrets approach in the Team Working Agreement before construction. Add ignore rules and secret scanning to the repository at setup, not at M3 (NFR-007).</t>
  </si>
  <si>
    <t xml:space="preserve">Treat the secret as compromised: rotate it, and record that history rewriting does not undo exposure.</t>
  </si>
  <si>
    <t xml:space="preserve">NFR-007, CON-05, CON-08</t>
  </si>
  <si>
    <t xml:space="preserve">RSK-12</t>
  </si>
  <si>
    <t xml:space="preserve">A third-party dependency introduces a vulnerability or malicious code into the build.</t>
  </si>
  <si>
    <t xml:space="preserve">The baseline will rest on an ecosystem of transitive dependencies chosen in M2. OWASP raised software supply chain failures to A03 in 2025 (OWASP, 2025), and Sonatype recorded over 454 600 new malicious open-source packages during 2025 (Sonatype, 2026).</t>
  </si>
  <si>
    <t xml:space="preserve">Make dependency-ecosystem maturity a criterion in DEC-008. Adopt lockfiles and automated dependency and vulnerability checking from the first construction Pull Request. Require any new dependency to be justified in the Pull Request that introduces it.</t>
  </si>
  <si>
    <t xml:space="preserve">Remove or replace the affected component, assess exposure, and record the residual risk rather than claiming the system is clean.</t>
  </si>
  <si>
    <t xml:space="preserve">DEC-008, FEC-06, CON-05</t>
  </si>
  <si>
    <t xml:space="preserve">RSK-13</t>
  </si>
  <si>
    <t xml:space="preserve">The system behaves correctly in development but fails in staging or production because the environments differ.</t>
  </si>
  <si>
    <t xml:space="preserve">Environment parity is not free, and free-tier hosting differs from a developer machine in runtime version, filesystem persistence, cold starts and network egress (Master Brief, s17).</t>
  </si>
  <si>
    <t xml:space="preserve">Record parity as a forward consideration now (FEC-05) so it becomes an explicit M2 platform criterion. Keep environment-specific values in configuration rather than code from the first commit.</t>
  </si>
  <si>
    <t xml:space="preserve">Roll back to the previous release, reproduce the difference in staging, and record the parity gap as a known limitation.</t>
  </si>
  <si>
    <t xml:space="preserve">CON-07, FEC-05, NFR-003</t>
  </si>
  <si>
    <t xml:space="preserve">RSK-14</t>
  </si>
  <si>
    <t xml:space="preserve">AI-assisted output is accepted into a controlled artefact without adequate verification, producing a defect or an artefact no member can defend.</t>
  </si>
  <si>
    <t xml:space="preserve">AI is permitted throughout the project (Master Brief, s10), and reviewing generated work is slower and less rewarding than accepting it. The statement that AI generated it is never an acceptable engineering defence.</t>
  </si>
  <si>
    <t xml:space="preserve">Record material AI contributions in the AI Usage Register at the time, not retrospectively. Apply the rule that no member may approve AI-assisted work they cannot explain without the assistant. Subject AI-generated work to the same branch, review and test controls as any other change.</t>
  </si>
  <si>
    <t xml:space="preserve">Revert the artefact to its last verified state and re-derive it. Where an artefact cannot be explained by any member, remove it from the baseline.</t>
  </si>
  <si>
    <t xml:space="preserve">Master Brief s10, AI Usage Register</t>
  </si>
  <si>
    <t xml:space="preserve">Forward Engineering Considerations (M1 brief s4). These are recorded, not decided. Positioned across the lifecycle in PED v1.0 Figure 1.</t>
  </si>
  <si>
    <t xml:space="preserve">Concern</t>
  </si>
  <si>
    <t xml:space="preserve">Why it matters now</t>
  </si>
  <si>
    <t xml:space="preserve">Later decision or activity influenced</t>
  </si>
  <si>
    <t xml:space="preserve">Information still missing</t>
  </si>
  <si>
    <t xml:space="preserve">Risk of ignoring it</t>
  </si>
  <si>
    <t xml:space="preserve">Authorisation depth and record-level data scope</t>
  </si>
  <si>
    <t xml:space="preserve">The baseline already commits to per-Requester record isolation (FR-012), category-scoped Staff queues (FR-013) and internal versus requester-visible entries (FR-011). Each of these is a property of how data is shaped and queried, not a screen behaviour.</t>
  </si>
  <si>
    <t xml:space="preserve">M2 data and architecture design; the M3 negative-test matrix derived from the access matrix.</t>
  </si>
  <si>
    <t xml:space="preserve">Whether Staff scope is ultimately by category, by site, or global; whether SC-D-05 multi-site separation will ever be required.</t>
  </si>
  <si>
    <t xml:space="preserve">Record-level authorisation added after the data model is fixed touches every query and every test, and tends to be implemented in the interface layer where it can be bypassed.</t>
  </si>
  <si>
    <t xml:space="preserve">FR-011, FR-012, FR-013, NFR-005, RSK-05, SC-D-05</t>
  </si>
  <si>
    <t xml:space="preserve">Request status model stability and the definition of overdue</t>
  </si>
  <si>
    <t xml:space="preserve">Every management figure in FR-022 to FR-024 is derived from status and timestamps. The model is being baselined now (Figure 2) precisely because it cannot be revised cheaply once requests exist.</t>
  </si>
  <si>
    <t xml:space="preserve">M2 persistence design and reporting approach; M3 transition testing; M4 evaluation of whether reporting is trustworthy.</t>
  </si>
  <si>
    <t xml:space="preserve">The organisation's actual response target, and whether different categories genuinely need different targets (SC-D-03).</t>
  </si>
  <si>
    <t xml:space="preserve">A state added or redefined after go-live cannot be applied to historical records, so the reporting the platform exists to provide becomes unreliable at exactly the point it is first used.</t>
  </si>
  <si>
    <t xml:space="preserve">FR-016, FR-022, FR-024, RSK-09, SC-D-03</t>
  </si>
  <si>
    <t xml:space="preserve">FEC-03</t>
  </si>
  <si>
    <t xml:space="preserve">Background processing capability of the deployment platform</t>
  </si>
  <si>
    <t xml:space="preserve">Notification beyond the in-application indication is deferred (SC-D-01), but reinstating it needs a scheduled job or always-on worker. Free tiers frequently restrict exactly that, so the M2 platform choice can close the option permanently without anyone noticing.</t>
  </si>
  <si>
    <t xml:space="preserve">M2 deployment platform decision (DEC-010); any future change request that reintroduces email or SMS notification.</t>
  </si>
  <si>
    <t xml:space="preserve">The background-process, scheduled-job and idle-timeout limits of each candidate platform within free-tier terms.</t>
  </si>
  <si>
    <t xml:space="preserve">Choosing a platform on cost and interface alone can make a deferred requirement unimplementable, converting a reversible deferral into an irreversible exclusion.</t>
  </si>
  <si>
    <t xml:space="preserve">SC-D-01, DEC-010, CON-03, RSK-02</t>
  </si>
  <si>
    <t xml:space="preserve">FEC-04</t>
  </si>
  <si>
    <t xml:space="preserve">Test data and personal information in non-production environments</t>
  </si>
  <si>
    <t xml:space="preserve">Staging is meant to resemble production (Master Brief, s17), while NFR-008 and POPIA constrain where personal information may exist. These two pull in opposite directions and the tension appears the first time anyone needs realistic data.</t>
  </si>
  <si>
    <t xml:space="preserve">M3 test strategy and staging deployment; the seeding approach used for the NFR-001 performance measurement at 5 000 records.</t>
  </si>
  <si>
    <t xml:space="preserve">Whether the organisation will provide any real historical data, and the retention position the organisation expects.</t>
  </si>
  <si>
    <t xml:space="preserve">Realistic data is usually obtained by copying production. Deciding this after staging exists means the convenient path has already been taken.</t>
  </si>
  <si>
    <t xml:space="preserve">NFR-001, NFR-008, CON-05, RSK-10</t>
  </si>
  <si>
    <t xml:space="preserve">FEC-05</t>
  </si>
  <si>
    <t xml:space="preserve">Environment parity, release control and rollback</t>
  </si>
  <si>
    <t xml:space="preserve">NFR-003 states an availability target and the team has not yet chosen where the system will run. Whether a release can be verified before users see it, and reversed afterwards, is decided by the platform and the release path, not by the application code.</t>
  </si>
  <si>
    <t xml:space="preserve">M2 platform decision; M3 staging deployment and production-readiness review; M4 production release and operational evidence.</t>
  </si>
  <si>
    <t xml:space="preserve">Platform cold-start and idle behaviour, deployment mechanism, region and data residency, and whether a previous release can be restored quickly.</t>
  </si>
  <si>
    <t xml:space="preserve">Discovering in M3 or M4 that staging cannot resemble production, or that a release cannot be reversed, leaves no time to change platform.</t>
  </si>
  <si>
    <t xml:space="preserve">NFR-003, NFR-013, DEC-010, RSK-02, RSK-13</t>
  </si>
  <si>
    <t xml:space="preserve">Reporting load against the transactional data as volume grows</t>
  </si>
  <si>
    <t xml:space="preserve">NFR-001 is stated at 5 000 requests and the management view in FR-022 aggregates across the same records the Staff queue reads. The interaction between the two only appears at volume.</t>
  </si>
  <si>
    <t xml:space="preserve">M2 persistence and indexing design; whether reporting reads the transactional store directly; M3 performance evidence.</t>
  </si>
  <si>
    <t xml:space="preserve">Expected request volume per month and the retention period, neither of which the organisation has yet supplied.</t>
  </si>
  <si>
    <t xml:space="preserve">Aggregate reporting queries running against the same store can degrade the Staff queue, so the feature that provides oversight damages the feature that does the work.</t>
  </si>
  <si>
    <t xml:space="preserve">NFR-001, FR-022, FR-023, RSK-12</t>
  </si>
  <si>
    <t xml:space="preserve">FEC-07</t>
  </si>
  <si>
    <t xml:space="preserve">Review capacity under the mandatory two-approval control</t>
  </si>
  <si>
    <t xml:space="preserve">CON-08 requires two approvals from members other than the author. With three members this is a throughput constraint on every controlled change from M2 onward, and it is being agreed now in the Team Working Agreement rather than discovered at a deadline.</t>
  </si>
  <si>
    <t xml:space="preserve">All controlled change in M2, M3 and M4; the authenticity of the review evidence the project is assessed on.</t>
  </si>
  <si>
    <t xml:space="preserve">Each member's realistic weekly availability windows across the remaining milestones.</t>
  </si>
  <si>
    <t xml:space="preserve">The pressure at a deadline is to bypass the control or to approve without reading. Both are visible in the history, and rubber-stamped approval may receive no credit (Master Brief, s9).</t>
  </si>
  <si>
    <t xml:space="preserve">CON-08, RSK-04, RSK-07, Team Working Agreement</t>
  </si>
  <si>
    <t xml:space="preserve">Engineering Decision Log (Master Brief s13). Entries marked DEFERRED are deliberate: each states the evidence still required before the decision can responsibly be taken.</t>
  </si>
  <si>
    <t xml:space="preserve">Decision</t>
  </si>
  <si>
    <t xml:space="preserve">Context</t>
  </si>
  <si>
    <t xml:space="preserve">Constraints</t>
  </si>
  <si>
    <t xml:space="preserve">Alternatives considered</t>
  </si>
  <si>
    <t xml:space="preserve">Decision taken</t>
  </si>
  <si>
    <t xml:space="preserve">Rationale</t>
  </si>
  <si>
    <t xml:space="preserve">Trade-offs</t>
  </si>
  <si>
    <t xml:space="preserve">Risks</t>
  </si>
  <si>
    <t xml:space="preserve">Evidence / evidence still required</t>
  </si>
  <si>
    <t xml:space="preserve">Later consequence</t>
  </si>
  <si>
    <t xml:space="preserve">DEC-001</t>
  </si>
  <si>
    <t xml:space="preserve">Adopt four roles: Requester, Staff, Coordinator and Manager</t>
  </si>
  <si>
    <t xml:space="preserve">Decided</t>
  </si>
  <si>
    <t xml:space="preserve">The capabilities in Master Brief s3 group into three actor types, but assignment and prioritisation are distinct from carrying out work.</t>
  </si>
  <si>
    <t xml:space="preserve">CON-06 team capability; CON-02 schedule; least privilege under CON-05.</t>
  </si>
  <si>
    <t xml:space="preserve">(a) Three roles, folding coordination into Staff. (b) Four roles as adopted. (c) Five roles, separating Administrator from Manager.</t>
  </si>
  <si>
    <t xml:space="preserve">Four roles, with administration held by Manager.</t>
  </si>
  <si>
    <t xml:space="preserve">Three roles would give every Staff member the ability to set priority, defeating DEC-002 and the accountability the platform exists to create. Five roles adds a permission set and a test column for a separation no stakeholder in the analysis has asked for.</t>
  </si>
  <si>
    <t xml:space="preserve">More roles means a larger access matrix and more negative tests. Manager holds both oversight and administration, which is a mild separation-of-duties compromise accepted for a team of this size.</t>
  </si>
  <si>
    <t xml:space="preserve">If the organisation later requires separation of administration from oversight, the matrix and tests must be revised.</t>
  </si>
  <si>
    <t xml:space="preserve">PED s5 stakeholder analysis; access matrix Table 6.5.</t>
  </si>
  <si>
    <t xml:space="preserve">Sets the permission model that FR-002 and every negative test in M3 are derived from.</t>
  </si>
  <si>
    <t xml:space="preserve">DEC-002</t>
  </si>
  <si>
    <t xml:space="preserve">Requester-reported urgency is an input; the Coordinator owns priority</t>
  </si>
  <si>
    <t xml:space="preserve">STK-01 wants to signal that a request is urgent. STK-03 is accountable for the order in which work is actually done.</t>
  </si>
  <si>
    <t xml:space="preserve">Accountability requirement in Master Brief s2; no reliable way to validate a self-declared urgency.</t>
  </si>
  <si>
    <t xml:space="preserve">(a) Requester sets priority directly. (b) No urgency captured at all. (c) Urgency captured as a separate attribute, priority set by Coordinator.</t>
  </si>
  <si>
    <t xml:space="preserve">Option (c).</t>
  </si>
  <si>
    <t xml:space="preserve">Option (a) makes priority meaningless within a short period because there is no cost to declaring urgency. Option (b) discards genuine information the Requester holds about impact.</t>
  </si>
  <si>
    <t xml:space="preserve">The Requester may perceive that their urgency was ignored. Mitigated by keeping both values visible to the Coordinator and by FR-020 requiring a reason on rejection.</t>
  </si>
  <si>
    <t xml:space="preserve">If the two values diverge persistently the organisation may need a documented triage rule, which does not exist yet.</t>
  </si>
  <si>
    <t xml:space="preserve">FR-021; stakeholder conflict recorded against STK-03.</t>
  </si>
  <si>
    <t xml:space="preserve">Requires two attributes in the M2 data design, not one.</t>
  </si>
  <si>
    <t xml:space="preserve">DEC-003</t>
  </si>
  <si>
    <t xml:space="preserve">Separate internal action entries from requester-visible entries</t>
  </si>
  <si>
    <t xml:space="preserve">STK-01 wants full visibility. STK-02 needs to record candid working notes, including notes about access, safety or difficulty.</t>
  </si>
  <si>
    <t xml:space="preserve">CON-05 security and least privilege; POPIA minimisation under NFR-008.</t>
  </si>
  <si>
    <t xml:space="preserve">(a) All notes visible to the Requester. (b) No notes visible to the Requester. (c) Visibility chosen explicitly per entry.</t>
  </si>
  <si>
    <t xml:space="preserve">Option (c), with no default visibility.</t>
  </si>
  <si>
    <t xml:space="preserve">Option (a) suppresses honest recording, which degrades the record the platform exists to create. Option (b) returns the Requester to chasing by telephone, which is the original problem.</t>
  </si>
  <si>
    <t xml:space="preserve">Every action entry now carries a decision the author must make, which is a small ongoing cost and a possible source of error.</t>
  </si>
  <si>
    <t xml:space="preserve">An entry marked with the wrong visibility is a disclosure. FR-017 therefore forbids a silent default.</t>
  </si>
  <si>
    <t xml:space="preserve">FR-011, FR-017; stakeholder conflict recorded against STK-01 and STK-02.</t>
  </si>
  <si>
    <t xml:space="preserve">Makes visibility a field in the data model and a case in the M3 negative-test matrix.</t>
  </si>
  <si>
    <t xml:space="preserve">DEC-004</t>
  </si>
  <si>
    <t xml:space="preserve">Issue a unique human-readable request reference at submission</t>
  </si>
  <si>
    <t xml:space="preserve">Requesters, staff and management all need to refer to one request unambiguously across conversations that will continue to happen outside the system.</t>
  </si>
  <si>
    <t xml:space="preserve">CON-01 scope; the accountability need in Master Brief s2.</t>
  </si>
  <si>
    <t xml:space="preserve">(a) Expose the internal identifier. (b) Issue a separate human-readable reference.</t>
  </si>
  <si>
    <t xml:space="preserve">Option (b).</t>
  </si>
  <si>
    <t xml:space="preserve">Exposing an internal sequential identifier both reveals volume and invites enumeration attempts against FR-012.</t>
  </si>
  <si>
    <t xml:space="preserve">A second identifier must be generated, kept unique and never reused, which is a small amount of additional logic and one more uniqueness constraint.</t>
  </si>
  <si>
    <t xml:space="preserve">Reference collision or reuse would corrupt the audit trail. FR-008 states the acceptance criterion.</t>
  </si>
  <si>
    <t xml:space="preserve">FR-008; FR-012.</t>
  </si>
  <si>
    <t xml:space="preserve">Constrains the M2 data design to a generation strategy that is safe under concurrent submission.</t>
  </si>
  <si>
    <t xml:space="preserve">DEC-005</t>
  </si>
  <si>
    <t xml:space="preserve">In-application notification only in the baseline</t>
  </si>
  <si>
    <t xml:space="preserve">Decided (scope)</t>
  </si>
  <si>
    <t xml:space="preserve">STK-01 needs to know when something happens to a request. Email, SMS and WhatsApp channels all reach the requester more directly.</t>
  </si>
  <si>
    <t xml:space="preserve">CON-02 schedule; CON-03 cost; unknown platform background-processing limits.</t>
  </si>
  <si>
    <t xml:space="preserve">(a) Email notification in the baseline. (b) In-application indication only. (c) Both.</t>
  </si>
  <si>
    <t xml:space="preserve">Option (b), with the channel deferred as SC-D-01.</t>
  </si>
  <si>
    <t xml:space="preserve">An external channel needs a sending service, a background worker, delivery-failure handling and a bounce position, none of which can be specified before the platform is known.</t>
  </si>
  <si>
    <t xml:space="preserve">The Requester must sign in to learn of an update, which is weaker than the stated need. This is a known gap, recorded rather than concealed.</t>
  </si>
  <si>
    <t xml:space="preserve">If the M2 platform cannot run a background worker, the deferral becomes an exclusion. Recorded as FEC-03.</t>
  </si>
  <si>
    <t xml:space="preserve">SC-D-01; FEC-03.</t>
  </si>
  <si>
    <t xml:space="preserve">Makes background-process support a required criterion in DEC-010.</t>
  </si>
  <si>
    <t xml:space="preserve">DEC-006</t>
  </si>
  <si>
    <t xml:space="preserve">Exclude file attachments from the baseline</t>
  </si>
  <si>
    <t xml:space="preserve">A photograph of a fault is high-value evidence for STK-02 and would reduce return visits.</t>
  </si>
  <si>
    <t xml:space="preserve">CON-03 cost of storage; CON-05 security; CON-02 schedule.</t>
  </si>
  <si>
    <t xml:space="preserve">(a) Include attachments. (b) Include with type and size restriction only. (c) Defer.</t>
  </si>
  <si>
    <t xml:space="preserve">Option (c), deferred as SC-D-02. Defended in PED s6.4.</t>
  </si>
  <si>
    <t xml:space="preserve">Attachments introduce storage cost, content-type validation, malware scanning, a retention position and personal information inside images. The team cannot meet the security obligations within the schedule, and a half-controlled attachment feature is worse than none.</t>
  </si>
  <si>
    <t xml:space="preserve">Requesters will describe faults in text, which is less precise. Staff may need more site visits.</t>
  </si>
  <si>
    <t xml:space="preserve">Deferral is only safe if the M2 data design does not preclude adding an attachment relationship later.</t>
  </si>
  <si>
    <t xml:space="preserve">SC-D-02; PED s6.4.</t>
  </si>
  <si>
    <t xml:space="preserve">The M2 data design must leave room for an attachment relationship without a migration.</t>
  </si>
  <si>
    <t xml:space="preserve">DEC-007</t>
  </si>
  <si>
    <t xml:space="preserve">Adopt MoSCoW prioritisation and the project identifier scheme</t>
  </si>
  <si>
    <t xml:space="preserve">Decided (process)</t>
  </si>
  <si>
    <t xml:space="preserve">Requirements, risks, decisions and changes must carry stable identifiers that survive into later milestones (Master Brief, s6.1 and s11).</t>
  </si>
  <si>
    <t xml:space="preserve">CON-08 governance; the RTM must remain usable as evidence grows.</t>
  </si>
  <si>
    <t xml:space="preserve">(a) High/Medium/Low priority. (b) MoSCoW. (c) Numeric ranking.</t>
  </si>
  <si>
    <t xml:space="preserve">MoSCoW, with the scheme FR-nnn, NFR-nnn, STK-nn, CON-nn, RSK-nn, DEC-nnn, FEC-nn, SC-x-nn, CR-nnn.</t>
  </si>
  <si>
    <t xml:space="preserve">MoSCoW states the commitment rather than a relative ordering, which is what a baseline needs. It also identifies the Should and Could set that RSK-03 designates as the absorption buffer for the M3 change.</t>
  </si>
  <si>
    <t xml:space="preserve">MoSCoW invites everything to be labelled Must. Countered by requiring a stakeholder source for each item.</t>
  </si>
  <si>
    <t xml:space="preserve">Identifiers must not be renumbered once baselined; doing so silently breaks the RTM.</t>
  </si>
  <si>
    <t xml:space="preserve">Requirements register; RTM.</t>
  </si>
  <si>
    <t xml:space="preserve">Every later artefact references these identifiers, so the scheme is effectively irreversible after sign-off.</t>
  </si>
  <si>
    <t xml:space="preserve">DEC-008</t>
  </si>
  <si>
    <t xml:space="preserve">Technology stack selection</t>
  </si>
  <si>
    <t xml:space="preserve">DEFERRED to M2</t>
  </si>
  <si>
    <t xml:space="preserve">M1 is explicitly not a technology-selection milestone (M1 brief, s5), and the team does not yet hold the evidence to choose responsibly.</t>
  </si>
  <si>
    <t xml:space="preserve">CON-06 capability; CON-07 platform availability; CON-03 cost; CON-05 security.</t>
  </si>
  <si>
    <t xml:space="preserve">Not yet evaluated. Candidate evaluation is an M2 activity.</t>
  </si>
  <si>
    <t xml:space="preserve">Deliberately not decided.</t>
  </si>
  <si>
    <t xml:space="preserve">Deciding now would rest on familiarity rather than evidence, which is the specific failure Master Brief s18.1 warns against.</t>
  </si>
  <si>
    <t xml:space="preserve">Deferral costs nothing while requirements are being baselined, because no baselined requirement in this document names a technology.</t>
  </si>
  <si>
    <t xml:space="preserve">Deferring past M2 would begin to constrain construction time. The decision point is the start of M2.</t>
  </si>
  <si>
    <t xml:space="preserve">Evidence still required: requirement and architecture fit; realistic learning curve for these three members; availability and compatibility on the BC Desktop platform; dependency ecosystem maturity; testing and automation support; deployment compatibility; free-tier limits and likely operational cost; lock-in and unavailability consequences.</t>
  </si>
  <si>
    <t xml:space="preserve">Determines construction, testing and deployment for the remainder of the project.</t>
  </si>
  <si>
    <t xml:space="preserve">DEC-009</t>
  </si>
  <si>
    <t xml:space="preserve">Software architecture style</t>
  </si>
  <si>
    <t xml:space="preserve">Architecture must follow from the architecturally significant requirements, and those are only being baselined in this document.</t>
  </si>
  <si>
    <t xml:space="preserve">NFR-001 performance; NFR-003 availability; NFR-005 authorisation; NFR-012 maintainability; CON-06 capability.</t>
  </si>
  <si>
    <t xml:space="preserve">Not yet evaluated.</t>
  </si>
  <si>
    <t xml:space="preserve">The quality attributes that should drive the choice are baselined here for the first time. Choosing before they were agreed would invert the dependency.</t>
  </si>
  <si>
    <t xml:space="preserve">None while requirements work continues.</t>
  </si>
  <si>
    <t xml:space="preserve">The choice interacts with DEC-008 and DEC-010; deciding any one in isolation constrains the other two.</t>
  </si>
  <si>
    <t xml:space="preserve">Evidence still required: which NFRs prove architecturally significant; the record-level authorisation shape from FEC-01; the reporting load position from FEC-06.</t>
  </si>
  <si>
    <t xml:space="preserve">Sets the structure that maintainability and change cost depend on for the rest of the project.</t>
  </si>
  <si>
    <t xml:space="preserve">DEC-010</t>
  </si>
  <si>
    <t xml:space="preserve">Deployment platform and environment topology</t>
  </si>
  <si>
    <t xml:space="preserve">The availability target NFR-003 and the cost ceiling NFR-013 both depend on a platform that has not been chosen.</t>
  </si>
  <si>
    <t xml:space="preserve">CON-03 cost; CON-07 availability of the platform; NFR-003; NFR-013.</t>
  </si>
  <si>
    <t xml:space="preserve">Platform behaviour cannot be assumed from marketing material; free-tier terms, idle behaviour and background-process limits must be verified (Master Brief, s23).</t>
  </si>
  <si>
    <t xml:space="preserve">None yet, but this decision has the shortest safe deferral window of the four because FEC-03 and FEC-05 both wait on it.</t>
  </si>
  <si>
    <t xml:space="preserve">Choosing on cost alone could permanently close the deferred notification channel (FEC-03) or make staging parity impossible (FEC-05).</t>
  </si>
  <si>
    <t xml:space="preserve">Evidence still required: free-tier quotas and terms; cold-start and idle behaviour measured against NFR-003; background-process and scheduled-job support; region and data residency; rollback mechanism; projected cost beyond the educational context.</t>
  </si>
  <si>
    <t xml:space="preserve">Determines whether NFR-003 and NFR-013 are achievable and whether SC-D-01 can ever be reinstated.</t>
  </si>
  <si>
    <t xml:space="preserve">DEC-011</t>
  </si>
  <si>
    <t xml:space="preserve">Persistence technology and schema design</t>
  </si>
  <si>
    <t xml:space="preserve">The data model must express FR-012 record isolation, FR-025 audit immutability and the FEC-01 authorisation scope, which are baselined here but not yet designed.</t>
  </si>
  <si>
    <t xml:space="preserve">CON-05 security; NFR-001 performance; NFR-011 auditability.</t>
  </si>
  <si>
    <t xml:space="preserve">Schema design is explicitly outside M1 (M1 brief, s5). The requirements it must satisfy are inside M1, and are recorded here.</t>
  </si>
  <si>
    <t xml:space="preserve">This is the longest-lived commitment in the system, because data outlives the application. FEC-01, FEC-02 and FEC-06 all constrain it.</t>
  </si>
  <si>
    <t xml:space="preserve">Evidence still required: the outcome of DEC-008; expected volume and retention from the organisation (FEC-06); the final record-level scope decision (FEC-01).</t>
  </si>
  <si>
    <t xml:space="preserve">Constrains every later change to reporting, authorisation and migration.</t>
  </si>
  <si>
    <t xml:space="preserve">DEC-012</t>
  </si>
  <si>
    <t xml:space="preserve">Adopt protected main with short-lived branches and two-reviewer approval</t>
  </si>
  <si>
    <t xml:space="preserve">Decided (governance)</t>
  </si>
  <si>
    <t xml:space="preserve">Master Brief s9 mandates the controls. The team must decide how to operate them with three members from the first week of M1.</t>
  </si>
  <si>
    <t xml:space="preserve">CON-08 governance; CON-02 schedule; RSK-04 review capacity.</t>
  </si>
  <si>
    <t xml:space="preserve">(a) Long-lived feature branches per member. (b) Short-lived branches per issue with rapid review. (c) Direct commits to main for documents only.</t>
  </si>
  <si>
    <t xml:space="preserve">Option (b). Every substantive change to any controlled artefact, document or code, enters main through a Pull Request with two approvals.</t>
  </si>
  <si>
    <t xml:space="preserve">Option (a) produces large, hard-to-review Pull Requests that invite rubber-stamping. Option (c) is not permitted by Master Brief s9 and would exclude the PED and registers from controlled history, which is where most M1 evidence lives.</t>
  </si>
  <si>
    <t xml:space="preserve">Every document change now costs a Pull Request and two reviews. This is a real overhead accepted because the review history is itself assessed evidence.</t>
  </si>
  <si>
    <t xml:space="preserve">With three members, one absence blocks all merges. Recorded as RSK-04 and FEC-07.</t>
  </si>
  <si>
    <t xml:space="preserve">Repository branch protection settings; Pull Request history; PED s12.</t>
  </si>
  <si>
    <t xml:space="preserve">Applies to every controlled change for the remainder of the project.</t>
  </si>
  <si>
    <t xml:space="preserve">AI Usage Register (Master Brief s10.1). Complete a row at the time the work is done, not retrospectively. Highlighted cells are placeholders you must replace.</t>
  </si>
  <si>
    <t xml:space="preserve">Date</t>
  </si>
  <si>
    <t xml:space="preserve">Student</t>
  </si>
  <si>
    <t xml:space="preserve">Tool</t>
  </si>
  <si>
    <t xml:space="preserve">Engineering task</t>
  </si>
  <si>
    <t xml:space="preserve">AI contribution</t>
  </si>
  <si>
    <t xml:space="preserve">Verification performed</t>
  </si>
  <si>
    <t xml:space="preserve">Issues found</t>
  </si>
  <si>
    <t xml:space="preserve">[Date]</t>
  </si>
  <si>
    <t xml:space="preserve">[Tool and version]</t>
  </si>
  <si>
    <t xml:space="preserve">Drafting candidate acceptance criteria for FR-005 to FR-012</t>
  </si>
  <si>
    <t xml:space="preserve">Proposed criteria in given/when/then form for review</t>
  </si>
  <si>
    <t xml:space="preserve">Each criterion checked against ISO/IEC/IEEE 29148:2018 characteristics of a good requirement: verifiable, unambiguous, singular. Criteria that could not be objectively verified were rewritten.</t>
  </si>
  <si>
    <t xml:space="preserve">Accepted after revision</t>
  </si>
  <si>
    <t xml:space="preserve">[Record what was wrong and what you changed]</t>
  </si>
  <si>
    <t xml:space="preserve">Reviewing the risk register for gaps</t>
  </si>
  <si>
    <t xml:space="preserve">Suggested additional risk candidates</t>
  </si>
  <si>
    <t xml:space="preserve">Each candidate assessed against the actual project constraints in PED s7; generic entries with no CivicConnect-specific cause were rejected.</t>
  </si>
  <si>
    <t xml:space="preserve">Partially accepted</t>
  </si>
  <si>
    <t xml:space="preserve">[Record which suggestions were rejected and why]</t>
  </si>
  <si>
    <t xml:space="preserve">[Task]</t>
  </si>
  <si>
    <t xml:space="preserve">[Contribution]</t>
  </si>
  <si>
    <t xml:space="preserve">[How you verified it independently]</t>
  </si>
  <si>
    <t xml:space="preserve">[Accepted / Rejected / Accepted after revision]</t>
  </si>
  <si>
    <t xml:space="preserve">[What was wrong]</t>
  </si>
  <si>
    <t xml:space="preserve">Change control template (Master Brief Appendix E). Row 3 is an example showing the expected format - replace it with the first real change request. A change request is expected in M3 (RSK-03).</t>
  </si>
  <si>
    <t xml:space="preserve">Change ID</t>
  </si>
  <si>
    <t xml:space="preserve">Requested by</t>
  </si>
  <si>
    <t xml:space="preserve">Requested change</t>
  </si>
  <si>
    <t xml:space="preserve">Reason / expected value</t>
  </si>
  <si>
    <t xml:space="preserve">Requirements affected</t>
  </si>
  <si>
    <t xml:space="preserve">Architecture / design affected</t>
  </si>
  <si>
    <t xml:space="preserve">UI / API / data affected</t>
  </si>
  <si>
    <t xml:space="preserve">Security / privacy impact</t>
  </si>
  <si>
    <t xml:space="preserve">Quality / testing impact</t>
  </si>
  <si>
    <t xml:space="preserve">Scope impact</t>
  </si>
  <si>
    <t xml:space="preserve">Schedule / resource impact</t>
  </si>
  <si>
    <t xml:space="preserve">Cost impact</t>
  </si>
  <si>
    <t xml:space="preserve">Risk impact</t>
  </si>
  <si>
    <t xml:space="preserve">Recommendation</t>
  </si>
  <si>
    <t xml:space="preserve">Approval / rationale</t>
  </si>
  <si>
    <t xml:space="preserve">CR-001</t>
  </si>
  <si>
    <t xml:space="preserve">[Requester]</t>
  </si>
  <si>
    <t xml:space="preserve">[What is being asked for]</t>
  </si>
  <si>
    <t xml:space="preserve">[Why, and the value expected]</t>
  </si>
  <si>
    <t xml:space="preserve">[FR / NFR ids]</t>
  </si>
  <si>
    <t xml:space="preserve">[Effect]</t>
  </si>
  <si>
    <t xml:space="preserve">[What is displaced]</t>
  </si>
  <si>
    <t xml:space="preserve">[Risk ids]</t>
  </si>
  <si>
    <t xml:space="preserve">ACCEPT / MODIFY / DEFER / REJECT</t>
  </si>
  <si>
    <t xml:space="preserve">[Who approved and why]</t>
  </si>
  <si>
    <t xml:space="preserve">Baselined request status model, drawn as PED v1.0 Figure 2. Any transition not listed here is refused (FR-016). Changing this after requests exist is a controlled change (RSK-09).</t>
  </si>
  <si>
    <t xml:space="preserve">From status</t>
  </si>
  <si>
    <t xml:space="preserve">To status</t>
  </si>
  <si>
    <t xml:space="preserve">Authorised role(s)</t>
  </si>
  <si>
    <t xml:space="preserve">Guard condition</t>
  </si>
  <si>
    <t xml:space="preserve">New</t>
  </si>
  <si>
    <t xml:space="preserve">Assigned</t>
  </si>
  <si>
    <t xml:space="preserve">Coordinator</t>
  </si>
  <si>
    <t xml:space="preserve">An assignee is nominated</t>
  </si>
  <si>
    <t xml:space="preserve">In Progress</t>
  </si>
  <si>
    <t xml:space="preserve">Staff</t>
  </si>
  <si>
    <t xml:space="preserve">Staff member accepts an unassigned request within their authorised categories</t>
  </si>
  <si>
    <t xml:space="preserve">Rejected</t>
  </si>
  <si>
    <t xml:space="preserve">A rejection reason is supplied (FR-020)</t>
  </si>
  <si>
    <t xml:space="preserve">Staff, Coordinator</t>
  </si>
  <si>
    <t xml:space="preserve">The assignee begins work</t>
  </si>
  <si>
    <t xml:space="preserve">Reassignment to a different assignee; audited as an assignee change (FR-025)</t>
  </si>
  <si>
    <t xml:space="preserve">A rejection reason is supplied</t>
  </si>
  <si>
    <t xml:space="preserve">On Hold</t>
  </si>
  <si>
    <t xml:space="preserve">A hold reason is recorded as an action entry</t>
  </si>
  <si>
    <t xml:space="preserve">Resolved</t>
  </si>
  <si>
    <t xml:space="preserve">A resolution summary is supplied (FR-018)</t>
  </si>
  <si>
    <t xml:space="preserve">The blocking condition is recorded as cleared</t>
  </si>
  <si>
    <t xml:space="preserve">Closed</t>
  </si>
  <si>
    <t xml:space="preserve">Coordinator, Manager</t>
  </si>
  <si>
    <t xml:space="preserve">Closure confirmed (FR-019)</t>
  </si>
  <si>
    <t xml:space="preserve">Reopened because the resolution was not accepted; reason recorded</t>
  </si>
  <si>
    <t xml:space="preserve">Role and function permissions. The M3 negative-test matrix is derived directly from this sheet: every 'No' is a test case (NFR-005).</t>
  </si>
  <si>
    <t xml:space="preserve">Function</t>
  </si>
  <si>
    <t xml:space="preserve">Requester</t>
  </si>
  <si>
    <t xml:space="preserve">Manager</t>
  </si>
  <si>
    <t xml:space="preserve">Submit a request</t>
  </si>
  <si>
    <t xml:space="preserve">Yes</t>
  </si>
  <si>
    <t xml:space="preserve">View own requests</t>
  </si>
  <si>
    <t xml:space="preserve">View any request in authorised categories</t>
  </si>
  <si>
    <t xml:space="preserve">No</t>
  </si>
  <si>
    <t xml:space="preserve">View internal action entries</t>
  </si>
  <si>
    <t xml:space="preserve">Assign a request to another user</t>
  </si>
  <si>
    <t xml:space="preserve">Accept an unassigned request in scope</t>
  </si>
  <si>
    <t xml:space="preserve">Record an action entry</t>
  </si>
  <si>
    <t xml:space="preserve">Change status (model-permitted transitions)</t>
  </si>
  <si>
    <t xml:space="preserve">Move Resolved to Closed</t>
  </si>
  <si>
    <t xml:space="preserve">Reject a request</t>
  </si>
  <si>
    <t xml:space="preserve">Set or change priority</t>
  </si>
  <si>
    <t xml:space="preserve">View management counts and breakdowns</t>
  </si>
  <si>
    <t xml:space="preserve">Maintain the category list</t>
  </si>
  <si>
    <t xml:space="preserve">Create or deactivate a user account</t>
  </si>
  <si>
    <t xml:space="preserve">Edit or delete an audit entry</t>
  </si>
  <si>
    <t xml:space="preserve">Controlled team working agreement. Required by M1 brief s10 readiness checklist.</t>
  </si>
  <si>
    <t xml:space="preserve">Area</t>
  </si>
  <si>
    <t xml:space="preserve">Agreement</t>
  </si>
  <si>
    <t xml:space="preserve">Cadence</t>
  </si>
  <si>
    <t xml:space="preserve">Two fixed working sessions each week plus one 20-minute checkpoint at which the PED, RTM, Risk Register and repository history are reviewed together. Attendance is recorded.</t>
  </si>
  <si>
    <t xml:space="preserve">Review turnaround</t>
  </si>
  <si>
    <t xml:space="preserve">A Pull Request receives a first review within 24 hours on a working day. This is a commitment made because CON-08 makes every merge dependent on both other members (RSK-04).</t>
  </si>
  <si>
    <t xml:space="preserve">Review windows</t>
  </si>
  <si>
    <t xml:space="preserve">Two windows each week are held open by all three members specifically for review, so that review is scheduled work rather than an interruption.</t>
  </si>
  <si>
    <t xml:space="preserve">Pull Request size</t>
  </si>
  <si>
    <t xml:space="preserve">One issue per Pull Request. A change large enough that a reviewer cannot hold it in their head is split, because approval that does not reflect meaningful review may receive no credit (Master Brief, s9).</t>
  </si>
  <si>
    <t xml:space="preserve">Definition of done</t>
  </si>
  <si>
    <t xml:space="preserve">Change is linked to an issue and a requirement identifier; affected registers are updated in the same Pull Request; checks pass; two approvals from members other than the author; merged by the author after approval.</t>
  </si>
  <si>
    <t xml:space="preserve">Authorship rotation</t>
  </si>
  <si>
    <t xml:space="preserve">No controlled artefact has a single permanent owner. Section ownership in the PED rotates each milestone so every member has authored and reviewed across the whole artefact set (RSK-07).</t>
  </si>
  <si>
    <t xml:space="preserve">Decision rule</t>
  </si>
  <si>
    <t xml:space="preserve">Technical decisions are taken by consensus at a working session and recorded in the Decision Log. Where consensus is not reached within one session the alternatives, the disagreement and the evidence still needed are recorded, and the decision is deferred rather than defaulted.</t>
  </si>
  <si>
    <t xml:space="preserve">Escalation</t>
  </si>
  <si>
    <t xml:space="preserve">A blocking disagreement or a blocked merge lasting more than two working days is raised with the lecturer rather than absorbed silently.</t>
  </si>
  <si>
    <t xml:space="preserve">Communication</t>
  </si>
  <si>
    <t xml:space="preserve">One agreed team channel for coordination. Engineering decisions are not settled in chat; they are recorded in the Decision Log or a Pull Request where they form part of the controlled history.</t>
  </si>
  <si>
    <t xml:space="preserve">AI use</t>
  </si>
  <si>
    <t xml:space="preserve">Permitted as an engineering assistant. Material contributions are recorded in the AI Usage Register at the time. No member approves AI-assisted work they cannot explain without the assistant. AI-assisted work carries the same branch, review and test controls as any other change (Master Brief, s10).</t>
  </si>
  <si>
    <t xml:space="preserve">Secrets</t>
  </si>
  <si>
    <t xml:space="preserve">No credential, key or token is committed. Configuration required to run locally is shared outside the repository through an agreed mechanism and is documented in the repository as a template with placeholder values only (NFR-007).</t>
  </si>
  <si>
    <t xml:space="preserve">Contribution evidence</t>
  </si>
  <si>
    <t xml:space="preserve">Each member maintains authored commits, owned issues, authored Pull Requests and reviewed Pull Requests throughout every milestone, because individual evidence is assessed separately (Master Brief, s8.1).</t>
  </si>
  <si>
    <t xml:space="preserve">Repository controls required by Master Brief s9. The Evidence column is yours to complete: only the team can produce this evidence, and it must be created progressively, not before submission.</t>
  </si>
  <si>
    <t xml:space="preserve">Control</t>
  </si>
  <si>
    <t xml:space="preserve">How the team applies it</t>
  </si>
  <si>
    <t xml:space="preserve">Evidence link</t>
  </si>
  <si>
    <t xml:space="preserve">Repository</t>
  </si>
  <si>
    <t xml:space="preserve">One controlled team repository holding the PED, all registers, and later the source and tests. Documents live in the repository from week one of M1 so that history is authentic rather than reconstructed (RSK-08).</t>
  </si>
  <si>
    <t xml:space="preserve">[Insert repository URL]</t>
  </si>
  <si>
    <t xml:space="preserve">Main branch protection</t>
  </si>
  <si>
    <t xml:space="preserve">main is protected. Direct pushes are disabled for all members including administrators.</t>
  </si>
  <si>
    <t xml:space="preserve">[Insert screenshot or settings export reference]</t>
  </si>
  <si>
    <t xml:space="preserve">Pull Requests</t>
  </si>
  <si>
    <t xml:space="preserve">Required for every substantive change to any controlled artefact, documents included.</t>
  </si>
  <si>
    <t xml:space="preserve">[Insert PR list reference]</t>
  </si>
  <si>
    <t xml:space="preserve">Required approvals</t>
  </si>
  <si>
    <t xml:space="preserve">Two approvals from members other than the author. Self-approval is not accepted.</t>
  </si>
  <si>
    <t xml:space="preserve">[Insert branch protection rule reference]</t>
  </si>
  <si>
    <t xml:space="preserve">Stale review dismissal</t>
  </si>
  <si>
    <t xml:space="preserve">Approvals are dismissed when new commits are pushed, so an approval always refers to the merged content.</t>
  </si>
  <si>
    <t xml:space="preserve">[Insert setting reference]</t>
  </si>
  <si>
    <t xml:space="preserve">Linear history</t>
  </si>
  <si>
    <t xml:space="preserve">Enabled, so that the controlled history stays readable as evidence.</t>
  </si>
  <si>
    <t xml:space="preserve">Branch naming</t>
  </si>
  <si>
    <t xml:space="preserve">type/issue-number-short-description, for example docs/14-scope-baseline or feat/27-request-submission.</t>
  </si>
  <si>
    <t xml:space="preserve">[Insert branch list reference]</t>
  </si>
  <si>
    <t xml:space="preserve">Issues and board</t>
  </si>
  <si>
    <t xml:space="preserve">Every substantive change is represented by an issue on the project board and referenced from the branch and Pull Request.</t>
  </si>
  <si>
    <t xml:space="preserve">[Insert board URL]</t>
  </si>
  <si>
    <t xml:space="preserve">Pull Request template</t>
  </si>
  <si>
    <t xml:space="preserve">Prompts for the linked issue and requirement identifier, the registers updated, the checks run, and what the reviewer should focus on.</t>
  </si>
  <si>
    <t xml:space="preserve">[Insert .github/pull_request_template.md reference]</t>
  </si>
  <si>
    <t xml:space="preserve">Review checklist</t>
  </si>
  <si>
    <t xml:space="preserve">Alignment with the requirement and its acceptance criteria; correctness; maintainability; security and privacy implications; test and regression impact; dependency changes; traceability impact; whether the change belongs in the controlled baseline (Master Brief, s9.1).</t>
  </si>
  <si>
    <t xml:space="preserve">[Insert example review comment permalink]</t>
  </si>
  <si>
    <t xml:space="preserve">Secret scanning</t>
  </si>
  <si>
    <t xml:space="preserve">Enabled on the repository, with push protection where available (NFR-007).</t>
  </si>
  <si>
    <t xml:space="preserve">Repository structure</t>
  </si>
  <si>
    <t xml:space="preserve">docs/PED, docs/requirements, docs/risk, docs/decisions, docs/change, docs/quality, docs/security, docs/deployment, src, tests, .github (Master Brief, Appendix C).</t>
  </si>
  <si>
    <t xml:space="preserve">[Insert repository tree reference]</t>
  </si>
  <si>
    <t xml:space="preserve">Baseline sign-off (Master Brief Appendix D). Complete at the M1 gate review, with all three members present.</t>
  </si>
  <si>
    <t xml:space="preserve">Field</t>
  </si>
  <si>
    <t xml:space="preserve">Value</t>
  </si>
  <si>
    <t xml:space="preserve">Project</t>
  </si>
  <si>
    <t xml:space="preserve">CivicConnect - Community Service Request Management Platform</t>
  </si>
  <si>
    <t xml:space="preserve">Baseline type</t>
  </si>
  <si>
    <t xml:space="preserve">Engineering Foundation and Requirements Baseline</t>
  </si>
  <si>
    <t xml:space="preserve">Document</t>
  </si>
  <si>
    <t xml:space="preserve">PED v1.0</t>
  </si>
  <si>
    <t xml:space="preserve">1.0</t>
  </si>
  <si>
    <t xml:space="preserve">[Insert date]</t>
  </si>
  <si>
    <t xml:space="preserve">Scope reviewed</t>
  </si>
  <si>
    <t xml:space="preserve">YES / NO</t>
  </si>
  <si>
    <t xml:space="preserve">Requirements and traceability checked</t>
  </si>
  <si>
    <t xml:space="preserve">Risk review completed</t>
  </si>
  <si>
    <t xml:space="preserve">Repository and governance controls checked</t>
  </si>
  <si>
    <t xml:space="preserve">Forward Engineering Considerations reviewed</t>
  </si>
  <si>
    <t xml:space="preserve">AI Usage Register current and verified</t>
  </si>
  <si>
    <t xml:space="preserve">Outcome</t>
  </si>
  <si>
    <t xml:space="preserve">ACCEPTED / CONDITIONALLY ACCEPTED / REVISION REQUIRED</t>
  </si>
  <si>
    <t xml:space="preserve">Conditions recorded (if any)</t>
  </si>
  <si>
    <t xml:space="preserve">[Insert]</t>
  </si>
  <si>
    <t xml:space="preserve">Team approval - [Member 1]</t>
  </si>
  <si>
    <t xml:space="preserve">Signature / date</t>
  </si>
  <si>
    <t xml:space="preserve">Team approval - [Member 2]</t>
  </si>
  <si>
    <t xml:space="preserve">Team approval - [Member 3]</t>
  </si>
  <si>
    <t xml:space="preserve">Assessor / client gate decision</t>
  </si>
  <si>
    <t xml:space="preserve">3 September 2026</t>
  </si>
  <si>
    <t xml:space="preserve">Jean Smit</t>
  </si>
  <si>
    <t xml:space="preserve">Claude (Anthropic) - conversational assistant</t>
  </si>
  <si>
    <t xml:space="preserve">Drafting PED v1.0 and the M1 registers workbook: functional and non-functional requirements with acceptance criteria, RTM, Risk Register, Forward Engineering Considerations and Decision Log.</t>
  </si>
  <si>
    <t xml:space="preserve">Proposed the document and register structure, candidate FR and NFR wording with acceptance criteria, candidate risk and forward-consideration entries, and the two PED figures.</t>
  </si>
  <si>
    <t xml:space="preserve">Every requirement checked against Master Brief s11 for a unique identifier, a named source, a priority and testable wording, and each acceptance criterion checked to be objectively verifiable. Forward Engineering Considerations checked to be CivicConnect-specific and anchored to named FR, NFR and CON identifiers rather than a generic lifecycle list. RTM columns H to L were left as Pending M2 and Pending M3 rather than populated, since no design, implementation or test evidence exists at M1.</t>
  </si>
  <si>
    <t xml:space="preserve">Accepted after revision</t>
  </si>
  <si>
    <t xml:space="preserve">Draft Decision Log entries that pre-selected a technology stack, an architecture style and a deployment platform were rejected as outside the M1 boundary (M1 brief s5) and re-recorded as deliberately deferred decisions DEC-008 to DEC-011, each stating the evidence still required before the decision can be taken.</t>
  </si>
  <si>
    <t xml:space="preserve">3 September 2026</t>
  </si>
  <si>
    <t xml:space="preserve">Jean Smit</t>
  </si>
  <si>
    <t xml:space="preserve">Claude (Anthropic) - conversational assistant</t>
  </si>
  <si>
    <t xml:space="preserve">Structuring and formatting of PED v1.0 and the registers workbook, and the later repair of the document layout.</t>
  </si>
  <si>
    <t xml:space="preserve">Proposed the section architecture and numbering, the column sets and table layouts for each register sheet, and the document and workbook styling. Later re-oriented three sections to landscape and scaled five over-wide tables to the page.</t>
  </si>
  <si>
    <t xml:space="preserve">Section structure checked against the twelve required M1 outputs (M1 brief s3) and against the PED quality standard (Master Brief s6.1), to confirm that each required output has a home and a stable identifier scheme. The layout repair was verified by exporting the document to PDF and confirming that no table or figure exceeds the usable width of the section it sits in.</t>
  </si>
  <si>
    <t xml:space="preserve">Accepted after revision</t>
  </si>
  <si>
    <t xml:space="preserve">Seven items overflowed the page and were cut off in the rendered document: the RTM, the Decision Log, the Risk Register, both figures, the version history table and the AI Usage Register. The RTM and both figures had been placed in portrait sections despite being sized for landscape, so scaling alone would not have made them readable.</t>
  </si>
  <si>
    <t xml:space="preserve">3 September 2026</t>
  </si>
  <si>
    <t xml:space="preserve">Jean Smit</t>
  </si>
  <si>
    <t xml:space="preserve">Claude (Anthropic) - conversational assistant. Figures produced programmatically as SVG from a Python script and rendered to PNG; no diagramming application was used.</t>
  </si>
  <si>
    <t xml:space="preserve">Producing Figure 1, the Forward Engineering Considerations map, and Figure 2, the request status model.</t>
  </si>
  <si>
    <t xml:space="preserve">Generated the SVG source, including the lifecycle columns, the marker positions for each concern and the decision each concern gates.</t>
  </si>
  <si>
    <t xml:space="preserve">Figure 1 checked against s11 concern by concern: the opened-in-M1 marker, the decision or implementation window, the peak-consequence point and the gated decision for all seven concerns. Figure 2 checked against the transitions listed in s8.4.</t>
  </si>
  <si>
    <t xml:space="preserve">Accepted after revision</t>
  </si>
  <si>
    <t xml:space="preserve">[To be completed: record what did not match and what you moved, or state that every marker matched the text.]</t>
  </si>
  <si>
    <t xml:space="preserve">8 September 2026</t>
  </si>
  <si>
    <t xml:space="preserve">Jean Smit</t>
  </si>
  <si>
    <t xml:space="preserve">Claude Code (Anthropic)</t>
  </si>
  <si>
    <t xml:space="preserve">M1 close-out: auditing the baseline and its repository evidence against the briefs, and drafting the AI Usage Register entries and the GitHub Governance evidence column.</t>
  </si>
  <si>
    <t xml:space="preserve">Audited the repository, git history and GitHub controls against Master Brief s9 and M1 brief s3, and drafted the register entries and the evidence references.</t>
  </si>
  <si>
    <t xml:space="preserve">Every governance claim was checked against the live repository rather than asserted. Ruleset 22248862 was read back from the GitHub API to confirm two required approvals, stale-review dismissal, linear history and an empty bypass list; secret scanning and push protection were confirmed enabled; collaborator and invitation state was confirmed directly.</t>
  </si>
  <si>
    <t xml:space="preserve">Accepted after revision</t>
  </si>
  <si>
    <t xml:space="preserve">Draft evidence cells initially cited the branch-protection settings as configured. These were rewritten to cite the ruleset read back from the API, because a claim that a control exists is not evidence that it operates. Two cells were left deliberately unfilled rather than pointed at an empty Pull Request list.</t>
  </si>
  <si>
    <t xml:space="preserve">Figure 1 checked against s11 and the Decision Log concern by concern: the opened-in-M1 marker, the decision or implementation window, the peak-consequence point and the gated decision for all seven concerns. Figure 2 checked against the twelve rows of the baselined status model, transition by transition, including the authorised role and the guard condition on each.</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</si>
  <si>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All twelve transitions, their directions, authorised roles and guard conditions are otherwise correct.</t>
  </si>
  <si>
    <t xml:space="preserve">FR-011, FR-012, FR-013, NFR-005, RSK-05, SC-D-05, DEC-009, DEC-011</t>
  </si>
  <si>
    <t xml:space="preserve">SC-D-01, DEC-005, DEC-010, CON-03, RSK-02</t>
  </si>
  <si>
    <t xml:space="preserve">NFR-001, FR-022, FR-023, RSK-12, DEC-009, DEC-011</t>
  </si>
  <si>
    <t xml:space="preserve">2026-09-08</t>
  </si>
  <si>
    <t xml:space="preserve">Darius Mushi</t>
  </si>
  <si>
    <t xml:space="preserve">AI chat assistant</t>
  </si>
  <si>
    <t xml:space="preserve">Understanding and preparing to defend PED s8 (functional and non-functional requirements) and owned risks RSK-03, RSK-06, RSK-09, RSK-12 ahead of the M1 engineering defence; inspecting the repository's actual commit history for authenticity</t>
  </si>
  <si>
    <t xml:space="preserve">Explained the rationale linking requirement structure to ISO/IEC/IEEE 29148:2018, traced connections between FR/NFR items and owned risks, generated practice questions, and retrieved the repository's commit history via git commands</t>
  </si>
  <si>
    <t xml:space="preserve">Re-ran git log --all --stat myself against the live repository and confirmed the commit history, authorship and file changes matched what the assistant reported</t>
  </si>
  <si>
    <t xml:space="preserve">Accepted as a study aid; the commit-history finding was treated as something to raise with the team, not taken at face value</t>
  </si>
  <si>
    <t xml:space="preserve">The assistant could not assess repository authenticity from a ZIP export alone (no .git history included) until the live repository URL was supplied; a snapshot without history can look complete while hiding whether the process was authentic</t>
  </si>
  <si>
    <t xml:space="preserve">https://github.com/PVY-Smit/civicconnect (public). Holds PED v1.0, the seventeen register sheets and both figures under docs/, with src/ and tests/ in place for M3.</t>
  </si>
  <si>
    <t xml:space="preserve">Ruleset "Protect main" (id 22248862), enforcement active on refs/heads/main: https://github.com/PVY-Smit/civicconnect/rules/22248862. bypass_actors is empty, so the control binds administrators as well. Read back from the GitHub API on 8 September 2026.</t>
  </si>
  <si>
    <t xml:space="preserve">https://github.com/PVY-Smit/civicconnect/pulls?q=is%3Apr. Every change to a controlled artefact since the baseline commit has entered through a Pull Request: #18 AI Usage Register, #19 PED layout. The two direct commits to main predate the ruleset, which was created on 4 September 2026; none have occurred since.</t>
  </si>
  <si>
    <t xml:space="preserve">Ruleset rule pull_request, required_approving_review_count = 2: https://github.com/PVY-Smit/civicconnect/rules/22248862. GitHub does not permit an author to approve their own Pull Request, so self-approval cannot occur.</t>
  </si>
  <si>
    <t xml:space="preserve">Ruleset rule pull_request, dismiss_stale_reviews_on_push = true: https://github.com/PVY-Smit/civicconnect/rules/22248862. An approval therefore always refers to the commit that merges, not to an earlier one.</t>
  </si>
  <si>
    <t xml:space="preserve">Ruleset rules required_linear_history and non_fast_forward, both active: https://github.com/PVY-Smit/civicconnect/rules/22248862. Merge commits and force pushes to main are refused.</t>
  </si>
  <si>
    <t xml:space="preserve">Convention in CONTRIBUTING.md, "Branch naming": https://github.com/PVY-Smit/civicconnect/blob/800b982f60ff7edb1931debc8525ffb6a48a5a20/CONTRIBUTING.md#L20-L26. Applied in the live branches docs/10-ai-register-js, docs/ped-layout-fix, docs/20-fec-decision-links and docs/6-governance-evidence.</t>
  </si>
  <si>
    <t xml:space="preserve">Board: https://github.com/users/PVY-Smit/projects/1. Issues: https://github.com/PVY-Smit/civicconnect/issues. All eighteen issues are on the board, and each controlled change references its issue from the branch name and the Pull Request.</t>
  </si>
  <si>
    <t xml:space="preserve">https://github.com/PVY-Smit/civicconnect/blob/800b982f60ff7edb1931debc8525ffb6a48a5a20/.github/pull_request_template.md. In use on #18 and #19, both of which record the linked issue, the registers touched, the AI-assistance declaration and what the reviewer should focus on.</t>
  </si>
  <si>
    <t xml:space="preserve">Checklist in CONTRIBUTING.md, "Review checklist": https://github.com/PVY-Smit/civicconnect/blob/800b982f60ff7edb1931debc8525ffb6a48a5a20/CONTRIBUTING.md#L55-L68. NOT YET EVIDENCED: no review comment exists to link to. The control is configured but has not yet operated; the first review is due in review window 1 (#11). Left incomplete deliberately rather than pointed at the checklist text alone, because the criterion asks for evidence that the control operates, not that it is written down.</t>
  </si>
  <si>
    <t xml:space="preserve">Secret scanning and push protection both enabled, confirmed from the GitHub API on 8 September 2026: https://github.com/PVY-Smit/civicconnect/settings/security_analysis. Supported by .gitignore, which excludes .env, key and certificate files, and by .env.example, which carries placeholder values only (NFR-007, RSK-11).</t>
  </si>
  <si>
    <t xml:space="preserve">https://github.com/PVY-Smit/civicconnect/tree/main/docs. docs/PED, docs/requirements, docs/architecture, docs/decisions, docs/risk, docs/change, docs/quality, docs/security, docs/deployment, plus src/, tests/ and .github/. Folders for later milestones are present and empty by design (Master Brief, Appendix C).</t>
  </si>
  <si>
    <t xml:space="preserve">Board: https://github.com/users/PVY-Smit/projects/1. Issues: https://github.com/PVY-Smit/civicconnect/issues. Every issue raised on the project is placed on the board, and each controlled change references its issue from the branch name and from the Pull Request that implements it. No fixed count is stated here: the number changes whenever an issue is raised, and evidence that goes stale on its own is weaker than evidence that describes the control.</t>
  </si>
  <si>
    <t xml:space="preserve">Checklist in CONTRIBUTING.md, "Review checklist": https://github.com/PVY-Smit/civicconnect/blob/800b982f60ff7edb1931debc8525ffb6a48a5a20/CONTRIBUTING.md#L55-L68. The control operating, not merely configured: review of #18 found the registers-updated checklist inverted against the actual change, which was corrected in response (https://github.com/PVY-Smit/civicconnect/pull/18#issuecomment-5583144236); the same review found that the Figure 2 label defect was recorded in a register row but not tracked as work, and it was raised as issue #27 (https://github.com/PVY-Smit/civicconnect/pull/18#issuecomment-5583171255). Approval carrying reasoning rather than a bare tick: https://github.com/PVY-Smit/civicconnect/pull/19#pullrequestreview-5140293911.</t>
  </si>
  <si>
    <t xml:space="preserve">Tristan Roets</t>
  </si>
  <si>
    <t xml:space="preserve">Tristan Roets</t>
  </si>
  <si>
    <t xml:space="preserve">Darius Mushi</t>
  </si>
  <si>
    <t xml:space="preserve">Jean Smit</t>
  </si>
  <si>
    <t xml:space="preserve">Tristan Roets</t>
  </si>
  <si>
    <t xml:space="preserve">Darius Mushi</t>
  </si>
  <si>
    <t xml:space="preserve">Jean Smit</t>
  </si>
  <si>
    <t xml:space="preserve">Jean Smit</t>
  </si>
  <si>
    <t xml:space="preserve">Darius Mushi</t>
  </si>
  <si>
    <t xml:space="preserve">Tristan Roets</t>
  </si>
  <si>
    <t xml:space="preserve">Jean Smit</t>
  </si>
  <si>
    <t xml:space="preserve">Darius Mushi</t>
  </si>
  <si>
    <t xml:space="preserve">Tristan Roets</t>
  </si>
  <si>
    <t xml:space="preserve">Jean Smit</t>
  </si>
  <si>
    <t xml:space="preserve">The first attempt was rejected because it was not vector source that could be regenerated: the initial figure was a canvas rendering rather than SVG. It was redone as SVG generated from a Python script and rendered to PNG, so a marker can be moved by editing the source and re-rendering rather than by redrawing the image. Two discrepancies were then found on checking and are recorded rather than silently corrected. (1) Figure 1 names one gated decision per concern, but the Decision Log records FEC-01 and FEC-06 as gating DEC-009 as well as DEC-011, since DEC-009 requires the record-level authorisation shape from FEC-01 and the reporting load position from FEC-06; the figure understates those two rows by one decision. The Forward Considerations sheet also cites DEC-010 in the Links column for FEC-03 and FEC-05 but cites no decision for FEC-01 or FEC-06, so that link is recorded in the Decision Log only. (2) In Figure 2 the single New to In Progress arc carries two stacked labels while the Assigned self-loop carries none, so 'reassign to a different staff member' reads as belonging to the wrong transition; recorded as issue #27 and carried as a known limitation in s16.1 rather than corrected, since the diagram source is not held in the repository. All twelve transitions, their directions, authorised roles and guard conditions are otherwise correct.</t>
  </si>
  <si>
    <t xml:space="preserve">Materialised - active (review delay recorded 9 September 2026)</t>
  </si>
  <si>
    <t xml:space="preserve">CON-08, FEC-07, #11, PR #18, PR #19, PR #31</t>
  </si>
  <si>
    <t xml:space="preserve">Materialised - active (member availability affected M1 review capacity on 9 September 2026)</t>
  </si>
  <si>
    <t xml:space="preserve">CON-02, CON-06, CON-08, FEC-07, #11</t>
  </si>
  <si>
    <t xml:space="preserve">RSK-15</t>
  </si>
  <si>
    <t xml:space="preserve">A controlled engineering artefact cannot be safely reproduced or corrected because only the rendered output is retained.</t>
  </si>
  <si>
    <t xml:space="preserve">Generated diagrams or similar artefacts are committed without their editable source or generation script.</t>
  </si>
  <si>
    <t xml:space="preserve">Commit editable source or generation scripts alongside generated artefacts, and regenerate and compare outputs against the authoritative register.</t>
  </si>
  <si>
    <t xml:space="preserve">Record the limitation, reconstruct the source, and independently verify the replacement against the controlled evidence before accepting it.</t>
  </si>
  <si>
    <t xml:space="preserve">Jean Smit</t>
  </si>
  <si>
    <t xml:space="preserve">Materialised - Figure 2, issue #27</t>
  </si>
  <si>
    <t xml:space="preserve">#27, PED s16.1, Status Model sheet, Figure 2, #36</t>
  </si>
</sst>
</file>

<file path=xl/styles.xml><?xml version="1.0" encoding="utf-8"?>
<styleSheet xmlns="http://schemas.openxmlformats.org/spreadsheetml/2006/main">
  <numFmts count="2">
    <numFmt numFmtId="164" formatCode="General"/>
    <numFmt numFmtId="165" formatCode="General"/>
  </numFmts>
  <fonts count="10">
    <font>
      <sz val="11"/>
      <color theme="1"/>
      <name val="Calibri"/>
      <family val="2"/>
      <charset val="1"/>
    </font>
    <font>
      <sz val="10"/>
      <name val="Arial"/>
      <family val="0"/>
    </font>
    <font>
      <sz val="10"/>
      <name val="Arial"/>
      <family val="0"/>
    </font>
    <font>
      <sz val="10"/>
      <name val="Arial"/>
      <family val="0"/>
    </font>
    <font>
      <b val="true"/>
      <sz val="15"/>
      <color rgb="FF1F3B5C"/>
      <name val="Arial"/>
      <family val="0"/>
      <charset val="1"/>
    </font>
    <font>
      <sz val="10"/>
      <name val="Arial"/>
      <family val="0"/>
      <charset val="1"/>
    </font>
    <font>
      <b val="true"/>
      <sz val="10"/>
      <name val="Arial"/>
      <family val="0"/>
      <charset val="1"/>
    </font>
    <font>
      <i val="true"/>
      <sz val="9"/>
      <color rgb="FF5C6B7A"/>
      <name val="Arial"/>
      <family val="0"/>
      <charset val="1"/>
    </font>
    <font>
      <b val="true"/>
      <sz val="10"/>
      <color rgb="FFFFFFFF"/>
      <name val="Arial"/>
      <family val="0"/>
      <charset val="1"/>
    </font>
    <font>
      <sz val="10"/>
      <name val="Arial"/>
      <family val="2"/>
    </font>
  </fonts>
  <fills count="5">
    <fill>
      <patternFill patternType="none"/>
    </fill>
    <fill>
      <patternFill patternType="gray125"/>
    </fill>
    <fill>
      <patternFill patternType="solid">
        <fgColor rgb="FFFFF3CD"/>
        <bgColor rgb="FFF2F5F8"/>
      </patternFill>
    </fill>
    <fill>
      <patternFill patternType="solid">
        <fgColor rgb="FF1F3B5C"/>
        <bgColor rgb="FF333333"/>
      </patternFill>
    </fill>
    <fill>
      <patternFill patternType="solid">
        <fgColor rgb="FFF2F5F8"/>
        <bgColor rgb="FFFFFFFF"/>
      </patternFill>
    </fill>
  </fills>
  <borders count="2">
    <border diagonalUp="false" diagonalDown="false">
      <left/>
      <right/>
      <top/>
      <bottom/>
      <diagonal/>
    </border>
    <border diagonalUp="false" diagonalDown="false">
      <left style="thin">
        <color rgb="FFC9D2DB"/>
      </left>
      <right style="thin">
        <color rgb="FFC9D2DB"/>
      </right>
      <top style="thin">
        <color rgb="FFC9D2DB"/>
      </top>
      <bottom style="thin">
        <color rgb="FFC9D2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center" vertical="top" textRotation="0" wrapText="fals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5" fontId="6" fillId="4" borderId="1" xfId="0" applyFont="true" applyBorder="true" applyAlignment="true" applyProtection="fals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B5C"/>
          <bgColor rgb="FF000000"/>
        </patternFill>
      </fill>
    </dxf>
    <dxf>
      <fill>
        <patternFill patternType="solid">
          <fgColor rgb="FFF2F5F8"/>
          <bgColor rgb="FF000000"/>
        </patternFill>
      </fill>
    </dxf>
    <dxf>
      <fill>
        <patternFill patternType="solid">
          <bgColor rgb="FF000000"/>
        </patternFill>
      </fill>
    </dxf>
    <dxf>
      <fill>
        <patternFill patternType="solid">
          <fgColor rgb="FFFFFFFF"/>
          <bgColor rgb="FF000000"/>
        </patternFill>
      </fill>
    </dxf>
    <dxf>
      <fill>
        <patternFill patternType="solid">
          <fgColor rgb="FFFFF3C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3CD"/>
      <rgbColor rgb="FFF2F5F8"/>
      <rgbColor rgb="FF660066"/>
      <rgbColor rgb="FFFF8080"/>
      <rgbColor rgb="FF0066CC"/>
      <rgbColor rgb="FFC9D2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B7A"/>
      <rgbColor rgb="FF969696"/>
      <rgbColor rgb="FF1F3B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drawings/drawing13.xml><?xml version="1.0" encoding="utf-8"?>
<xdr:wsDr xmlns:xdr="http://schemas.openxmlformats.org/drawingml/2006/spreadsheetDrawing" xmlns:a="http://schemas.openxmlformats.org/drawingml/2006/main" xmlns:r="http://schemas.openxmlformats.org/officeDocument/2006/relationships"/>
</file>

<file path=xl/drawings/drawing14.xml><?xml version="1.0" encoding="utf-8"?>
<xdr:wsDr xmlns:xdr="http://schemas.openxmlformats.org/drawingml/2006/spreadsheetDrawing" xmlns:a="http://schemas.openxmlformats.org/drawingml/2006/main" xmlns:r="http://schemas.openxmlformats.org/officeDocument/2006/relationships"/>
</file>

<file path=xl/drawings/drawing15.xml><?xml version="1.0" encoding="utf-8"?>
<xdr:wsDr xmlns:xdr="http://schemas.openxmlformats.org/drawingml/2006/spreadsheetDrawing" xmlns:a="http://schemas.openxmlformats.org/drawingml/2006/main" xmlns:r="http://schemas.openxmlformats.org/officeDocument/2006/relationships"/>
</file>

<file path=xl/drawings/drawing1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7.xml"/><Relationship Id="rId3" Type="http://schemas.openxmlformats.org/officeDocument/2006/relationships/vmlDrawing" Target="../drawings/vmlDrawing1.v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_rels/sheet14.xml.rels><?xml version="1.0" encoding="UTF-8"?>
<Relationships xmlns="http://schemas.openxmlformats.org/package/2006/relationships"><Relationship Id="rId1" Type="http://schemas.openxmlformats.org/officeDocument/2006/relationships/drawing" Target="../drawings/drawing13.xml"/>
</Relationships>
</file>

<file path=xl/worksheets/_rels/sheet15.xml.rels><?xml version="1.0" encoding="UTF-8"?>
<Relationships xmlns="http://schemas.openxmlformats.org/package/2006/relationships"><Relationship Id="rId1" Type="http://schemas.openxmlformats.org/officeDocument/2006/relationships/drawing" Target="../drawings/drawing14.xml"/>
</Relationships>
</file>

<file path=xl/worksheets/_rels/sheet16.xml.rels><?xml version="1.0" encoding="UTF-8"?>
<Relationships xmlns="http://schemas.openxmlformats.org/package/2006/relationships"><Relationship Id="rId1" Type="http://schemas.openxmlformats.org/officeDocument/2006/relationships/drawing" Target="../drawings/drawing15.xml"/>
</Relationships>
</file>

<file path=xl/worksheets/_rels/sheet17.xml.rels><?xml version="1.0" encoding="UTF-8"?>
<Relationships xmlns="http://schemas.openxmlformats.org/package/2006/relationships"><Relationship Id="rId1" Type="http://schemas.openxmlformats.org/officeDocument/2006/relationships/drawing" Target="../drawings/drawing1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10"/>
  </cols>
  <sheetData>
    <row r="1" customFormat="false" ht="18.55" hidden="false" customHeight="false" outlineLevel="0" collapsed="false">
      <c r="A1" s="1" t="s">
        <v>0</v>
      </c>
      <c r="B1" s="2"/>
    </row>
    <row r="2" customFormat="false" ht="15" hidden="false" customHeight="false" outlineLevel="0" collapsed="false">
      <c r="A2" s="3"/>
      <c r="B2" s="2"/>
    </row>
    <row r="3" customFormat="false" ht="23.85" hidden="false" customHeight="false" outlineLevel="0" collapsed="false">
      <c r="A3" s="4" t="s">
        <v>1</v>
      </c>
      <c r="B3" s="2" t="s">
        <v>2</v>
      </c>
    </row>
    <row r="4" customFormat="false" ht="15" hidden="false" customHeight="false" outlineLevel="0" collapsed="false">
      <c r="A4" s="4" t="s">
        <v>3</v>
      </c>
      <c r="B4" s="2" t="s">
        <v>4</v>
      </c>
    </row>
    <row r="5" customFormat="false" ht="15" hidden="false" customHeight="false" outlineLevel="0" collapsed="false">
      <c r="A5" s="4" t="s">
        <v>5</v>
      </c>
      <c r="B5" s="5" t="s">
        <v>6</v>
      </c>
    </row>
    <row r="6" customFormat="false" ht="15" hidden="false" customHeight="false" outlineLevel="0" collapsed="false">
      <c r="A6" s="3"/>
      <c r="B6" s="2"/>
    </row>
    <row r="7" customFormat="false" ht="15" hidden="false" customHeight="false" outlineLevel="0" collapsed="false">
      <c r="A7" s="4" t="s">
        <v>7</v>
      </c>
      <c r="B7" s="2"/>
    </row>
    <row r="8" customFormat="false" ht="15" hidden="false" customHeight="false" outlineLevel="0" collapsed="false">
      <c r="A8" s="4" t="s">
        <v>8</v>
      </c>
      <c r="B8" s="2" t="s">
        <v>9</v>
      </c>
    </row>
    <row r="9" customFormat="false" ht="23.85" hidden="false" customHeight="false" outlineLevel="0" collapsed="false">
      <c r="A9" s="4" t="s">
        <v>10</v>
      </c>
      <c r="B9" s="2" t="s">
        <v>11</v>
      </c>
    </row>
    <row r="10" customFormat="false" ht="23.85" hidden="false" customHeight="false" outlineLevel="0" collapsed="false">
      <c r="A10" s="4" t="s">
        <v>12</v>
      </c>
      <c r="B10" s="2" t="s">
        <v>13</v>
      </c>
    </row>
    <row r="11" customFormat="false" ht="15" hidden="false" customHeight="false" outlineLevel="0" collapsed="false">
      <c r="A11" s="4" t="s">
        <v>14</v>
      </c>
      <c r="B11" s="2" t="s">
        <v>15</v>
      </c>
    </row>
    <row r="12" customFormat="false" ht="23.85" hidden="false" customHeight="false" outlineLevel="0" collapsed="false">
      <c r="A12" s="4" t="s">
        <v>16</v>
      </c>
      <c r="B12" s="2" t="s">
        <v>17</v>
      </c>
    </row>
    <row r="13" customFormat="false" ht="15" hidden="false" customHeight="false" outlineLevel="0" collapsed="false">
      <c r="A13" s="3"/>
      <c r="B13" s="2"/>
    </row>
    <row r="14" customFormat="false" ht="15" hidden="false" customHeight="false" outlineLevel="0" collapsed="false">
      <c r="A14" s="4" t="s">
        <v>18</v>
      </c>
      <c r="B14" s="2"/>
    </row>
    <row r="15" customFormat="false" ht="15" hidden="false" customHeight="false" outlineLevel="0" collapsed="false">
      <c r="A15" s="3" t="s">
        <v>19</v>
      </c>
      <c r="B15" s="6" t="n">
        <f aca="false">COUNTA('Requirements (FR)'!A3:A200)</f>
        <v>29</v>
      </c>
    </row>
    <row r="16" customFormat="false" ht="15" hidden="false" customHeight="false" outlineLevel="0" collapsed="false">
      <c r="A16" s="3" t="s">
        <v>20</v>
      </c>
      <c r="B16" s="6" t="n">
        <f aca="false">COUNTIF('Requirements (FR)'!D3:D200,"Must")</f>
        <v>22</v>
      </c>
    </row>
    <row r="17" customFormat="false" ht="15" hidden="false" customHeight="false" outlineLevel="0" collapsed="false">
      <c r="A17" s="3" t="s">
        <v>21</v>
      </c>
      <c r="B17" s="6" t="n">
        <f aca="false">COUNTIF('Requirements (FR)'!D3:D200,"Should")</f>
        <v>6</v>
      </c>
    </row>
    <row r="18" customFormat="false" ht="15" hidden="false" customHeight="false" outlineLevel="0" collapsed="false">
      <c r="A18" s="3" t="s">
        <v>22</v>
      </c>
      <c r="B18" s="6" t="n">
        <f aca="false">COUNTIF('Requirements (FR)'!D3:D200,"Could")</f>
        <v>1</v>
      </c>
    </row>
    <row r="19" customFormat="false" ht="15" hidden="false" customHeight="false" outlineLevel="0" collapsed="false">
      <c r="A19" s="3" t="s">
        <v>23</v>
      </c>
      <c r="B19" s="6" t="n">
        <f aca="false">COUNTA('Requirements (NFR)'!A3:A200)</f>
        <v>13</v>
      </c>
    </row>
    <row r="20" customFormat="false" ht="15" hidden="false" customHeight="false" outlineLevel="0" collapsed="false">
      <c r="A20" s="3" t="s">
        <v>24</v>
      </c>
      <c r="B20" s="6" t="n">
        <f aca="false">COUNTA(RTM!A3:A400)</f>
        <v>42</v>
      </c>
    </row>
    <row r="21" customFormat="false" ht="15" hidden="false" customHeight="false" outlineLevel="0" collapsed="false">
      <c r="A21" s="3" t="s">
        <v>25</v>
      </c>
      <c r="B21" s="6" t="n">
        <f aca="false">COUNTIF('Risk Register'!G3:G200,"Critical")</f>
        <v>2</v>
      </c>
    </row>
    <row r="22" customFormat="false" ht="15" hidden="false" customHeight="false" outlineLevel="0" collapsed="false">
      <c r="A22" s="3" t="s">
        <v>26</v>
      </c>
      <c r="B22" s="6" t="n">
        <f aca="false">COUNTIF('Risk Register'!G3:G200,"High")</f>
        <v>8</v>
      </c>
    </row>
    <row r="23" customFormat="false" ht="15" hidden="false" customHeight="false" outlineLevel="0" collapsed="false">
      <c r="A23" s="3" t="s">
        <v>27</v>
      </c>
      <c r="B23" s="6" t="n">
        <f aca="false">COUNTIF('Risk Register'!G3:G200,"Medium")</f>
        <v>4</v>
      </c>
    </row>
    <row r="24" customFormat="false" ht="15" hidden="false" customHeight="false" outlineLevel="0" collapsed="false">
      <c r="A24" s="3" t="s">
        <v>28</v>
      </c>
      <c r="B24" s="6" t="n">
        <f aca="false">COUNTIF('Risk Register'!G3:G200,"Low")</f>
        <v>0</v>
      </c>
    </row>
    <row r="25" customFormat="false" ht="15" hidden="false" customHeight="false" outlineLevel="0" collapsed="false">
      <c r="A25" s="3" t="s">
        <v>29</v>
      </c>
      <c r="B25" s="6" t="n">
        <f aca="false">COUNTA('Forward Considerations'!A3:A200)</f>
        <v>7</v>
      </c>
    </row>
    <row r="26" customFormat="false" ht="15" hidden="false" customHeight="false" outlineLevel="0" collapsed="false">
      <c r="A26" s="3" t="s">
        <v>30</v>
      </c>
      <c r="B26" s="6" t="n">
        <f aca="false">COUNTA('Decision Log'!A3:A200)</f>
        <v>12</v>
      </c>
    </row>
    <row r="27" customFormat="false" ht="15" hidden="false" customHeight="false" outlineLevel="0" collapsed="false">
      <c r="A27" s="3" t="s">
        <v>31</v>
      </c>
      <c r="B27" s="6" t="n">
        <f aca="false">COUNTIF('Decision Log'!C3:C200,"DEFERRED to M2")</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34"/>
    <col collapsed="false" customWidth="true" hidden="false" outlineLevel="0" max="4" min="4" style="0" width="46"/>
    <col collapsed="false" customWidth="true" hidden="false" outlineLevel="0" max="5" min="5" style="0" width="11"/>
    <col collapsed="false" customWidth="true" hidden="false" outlineLevel="0" max="6" min="6" style="0" width="10"/>
    <col collapsed="false" customWidth="true" hidden="false" outlineLevel="0" max="7" min="7" style="0" width="60"/>
  </cols>
  <sheetData>
    <row r="1" customFormat="false" ht="25.5" hidden="false" customHeight="true" outlineLevel="0" collapsed="false">
      <c r="A1" s="7" t="s">
        <v>32</v>
      </c>
      <c r="B1" s="7"/>
      <c r="C1" s="7"/>
      <c r="D1" s="7"/>
      <c r="E1" s="7"/>
      <c r="F1" s="7"/>
      <c r="G1" s="7"/>
    </row>
    <row r="2" customFormat="false" ht="30" hidden="false" customHeight="true" outlineLevel="0" collapsed="false">
      <c r="A2" s="8" t="s">
        <v>33</v>
      </c>
      <c r="B2" s="8" t="s">
        <v>34</v>
      </c>
      <c r="C2" s="8" t="s">
        <v>35</v>
      </c>
      <c r="D2" s="8" t="s">
        <v>36</v>
      </c>
      <c r="E2" s="8" t="s">
        <v>37</v>
      </c>
      <c r="F2" s="8" t="s">
        <v>38</v>
      </c>
      <c r="G2" s="8" t="s">
        <v>39</v>
      </c>
    </row>
    <row r="3" customFormat="false" ht="35.05" hidden="false" customHeight="false" outlineLevel="0" collapsed="false">
      <c r="A3" s="9" t="s">
        <v>40</v>
      </c>
      <c r="B3" s="9" t="s">
        <v>41</v>
      </c>
      <c r="C3" s="9" t="s">
        <v>42</v>
      </c>
      <c r="D3" s="9" t="s">
        <v>43</v>
      </c>
      <c r="E3" s="9" t="s">
        <v>44</v>
      </c>
      <c r="F3" s="9" t="s">
        <v>45</v>
      </c>
      <c r="G3" s="9" t="s">
        <v>46</v>
      </c>
    </row>
    <row r="4" customFormat="false" ht="35.05" hidden="false" customHeight="false" outlineLevel="0" collapsed="false">
      <c r="A4" s="10" t="s">
        <v>47</v>
      </c>
      <c r="B4" s="10" t="s">
        <v>48</v>
      </c>
      <c r="C4" s="10" t="s">
        <v>49</v>
      </c>
      <c r="D4" s="10" t="s">
        <v>50</v>
      </c>
      <c r="E4" s="10" t="s">
        <v>51</v>
      </c>
      <c r="F4" s="10" t="s">
        <v>45</v>
      </c>
      <c r="G4" s="10" t="s">
        <v>52</v>
      </c>
    </row>
    <row r="5" customFormat="false" ht="35.05" hidden="false" customHeight="false" outlineLevel="0" collapsed="false">
      <c r="A5" s="9" t="s">
        <v>53</v>
      </c>
      <c r="B5" s="9" t="s">
        <v>54</v>
      </c>
      <c r="C5" s="9" t="s">
        <v>55</v>
      </c>
      <c r="D5" s="9" t="s">
        <v>56</v>
      </c>
      <c r="E5" s="9" t="s">
        <v>45</v>
      </c>
      <c r="F5" s="9" t="s">
        <v>45</v>
      </c>
      <c r="G5" s="9" t="s">
        <v>57</v>
      </c>
    </row>
    <row r="6" customFormat="false" ht="35.05" hidden="false" customHeight="false" outlineLevel="0" collapsed="false">
      <c r="A6" s="10" t="s">
        <v>58</v>
      </c>
      <c r="B6" s="10" t="s">
        <v>59</v>
      </c>
      <c r="C6" s="10" t="s">
        <v>60</v>
      </c>
      <c r="D6" s="10" t="s">
        <v>61</v>
      </c>
      <c r="E6" s="10" t="s">
        <v>45</v>
      </c>
      <c r="F6" s="10" t="s">
        <v>51</v>
      </c>
      <c r="G6" s="10" t="s">
        <v>62</v>
      </c>
    </row>
    <row r="7" customFormat="false" ht="23.85" hidden="false" customHeight="false" outlineLevel="0" collapsed="false">
      <c r="A7" s="9" t="s">
        <v>63</v>
      </c>
      <c r="B7" s="9" t="s">
        <v>64</v>
      </c>
      <c r="C7" s="9" t="s">
        <v>65</v>
      </c>
      <c r="D7" s="9" t="s">
        <v>66</v>
      </c>
      <c r="E7" s="9" t="s">
        <v>51</v>
      </c>
      <c r="F7" s="9" t="s">
        <v>51</v>
      </c>
      <c r="G7" s="9" t="s">
        <v>67</v>
      </c>
    </row>
    <row r="8" customFormat="false" ht="35.05" hidden="false" customHeight="false" outlineLevel="0" collapsed="false">
      <c r="A8" s="10" t="s">
        <v>68</v>
      </c>
      <c r="B8" s="10" t="s">
        <v>69</v>
      </c>
      <c r="C8" s="10" t="s">
        <v>70</v>
      </c>
      <c r="D8" s="10" t="s">
        <v>71</v>
      </c>
      <c r="E8" s="10" t="s">
        <v>45</v>
      </c>
      <c r="F8" s="10" t="s">
        <v>51</v>
      </c>
      <c r="G8" s="10" t="s">
        <v>72</v>
      </c>
    </row>
    <row r="9" customFormat="false" ht="35.05" hidden="false" customHeight="false" outlineLevel="0" collapsed="false">
      <c r="A9" s="9" t="s">
        <v>73</v>
      </c>
      <c r="B9" s="9" t="s">
        <v>74</v>
      </c>
      <c r="C9" s="9" t="s">
        <v>75</v>
      </c>
      <c r="D9" s="9" t="s">
        <v>76</v>
      </c>
      <c r="E9" s="9" t="s">
        <v>51</v>
      </c>
      <c r="F9" s="9" t="s">
        <v>44</v>
      </c>
      <c r="G9" s="9" t="s">
        <v>77</v>
      </c>
    </row>
    <row r="10" customFormat="false" ht="35.05" hidden="false" customHeight="false" outlineLevel="0" collapsed="false">
      <c r="A10" s="10" t="s">
        <v>78</v>
      </c>
      <c r="B10" s="10" t="s">
        <v>79</v>
      </c>
      <c r="C10" s="10" t="s">
        <v>80</v>
      </c>
      <c r="D10" s="10" t="s">
        <v>81</v>
      </c>
      <c r="E10" s="10" t="s">
        <v>45</v>
      </c>
      <c r="F10" s="10" t="s">
        <v>45</v>
      </c>
      <c r="G10" s="10" t="s">
        <v>82</v>
      </c>
    </row>
    <row r="11" customFormat="false" ht="35.05" hidden="false" customHeight="false" outlineLevel="0" collapsed="false">
      <c r="A11" s="9" t="s">
        <v>83</v>
      </c>
      <c r="B11" s="9" t="s">
        <v>84</v>
      </c>
      <c r="C11" s="9" t="s">
        <v>85</v>
      </c>
      <c r="D11" s="9" t="s">
        <v>86</v>
      </c>
      <c r="E11" s="9" t="s">
        <v>45</v>
      </c>
      <c r="F11" s="9" t="s">
        <v>45</v>
      </c>
      <c r="G11" s="9" t="s">
        <v>87</v>
      </c>
    </row>
  </sheetData>
  <autoFilter ref="A2:G11"/>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62"/>
    <col collapsed="false" customWidth="true" hidden="false" outlineLevel="0" max="4" min="4" style="0" width="22"/>
    <col collapsed="false" customWidth="true" hidden="false" outlineLevel="0" max="5" min="5" style="0" width="78"/>
  </cols>
  <sheetData>
    <row r="1" customFormat="false" ht="25.5" hidden="false" customHeight="true" outlineLevel="0" collapsed="false">
      <c r="A1" s="7" t="s">
        <v>88</v>
      </c>
      <c r="B1" s="7"/>
      <c r="C1" s="7"/>
      <c r="D1" s="7"/>
      <c r="E1" s="7"/>
    </row>
    <row r="2" customFormat="false" ht="30" hidden="false" customHeight="true" outlineLevel="0" collapsed="false">
      <c r="A2" s="8" t="s">
        <v>33</v>
      </c>
      <c r="B2" s="8" t="s">
        <v>89</v>
      </c>
      <c r="C2" s="8" t="s">
        <v>90</v>
      </c>
      <c r="D2" s="8" t="s">
        <v>91</v>
      </c>
      <c r="E2" s="8" t="s">
        <v>92</v>
      </c>
    </row>
    <row r="3" customFormat="false" ht="23.85" hidden="false" customHeight="false" outlineLevel="0" collapsed="false">
      <c r="A3" s="9" t="s">
        <v>93</v>
      </c>
      <c r="B3" s="9" t="s">
        <v>94</v>
      </c>
      <c r="C3" s="9" t="s">
        <v>95</v>
      </c>
      <c r="D3" s="9" t="s">
        <v>96</v>
      </c>
      <c r="E3" s="9"/>
    </row>
    <row r="4" customFormat="false" ht="23.85" hidden="false" customHeight="false" outlineLevel="0" collapsed="false">
      <c r="A4" s="10" t="s">
        <v>97</v>
      </c>
      <c r="B4" s="10" t="s">
        <v>94</v>
      </c>
      <c r="C4" s="10" t="s">
        <v>98</v>
      </c>
      <c r="D4" s="10" t="s">
        <v>99</v>
      </c>
      <c r="E4" s="10"/>
    </row>
    <row r="5" customFormat="false" ht="15" hidden="false" customHeight="false" outlineLevel="0" collapsed="false">
      <c r="A5" s="9" t="s">
        <v>100</v>
      </c>
      <c r="B5" s="9" t="s">
        <v>94</v>
      </c>
      <c r="C5" s="9" t="s">
        <v>101</v>
      </c>
      <c r="D5" s="9" t="s">
        <v>102</v>
      </c>
      <c r="E5" s="9"/>
    </row>
    <row r="6" customFormat="false" ht="15" hidden="false" customHeight="false" outlineLevel="0" collapsed="false">
      <c r="A6" s="10" t="s">
        <v>103</v>
      </c>
      <c r="B6" s="10" t="s">
        <v>94</v>
      </c>
      <c r="C6" s="10" t="s">
        <v>104</v>
      </c>
      <c r="D6" s="10" t="s">
        <v>105</v>
      </c>
      <c r="E6" s="10"/>
    </row>
    <row r="7" customFormat="false" ht="15" hidden="false" customHeight="false" outlineLevel="0" collapsed="false">
      <c r="A7" s="9" t="s">
        <v>106</v>
      </c>
      <c r="B7" s="9" t="s">
        <v>94</v>
      </c>
      <c r="C7" s="9" t="s">
        <v>107</v>
      </c>
      <c r="D7" s="9" t="s">
        <v>108</v>
      </c>
      <c r="E7" s="9"/>
    </row>
    <row r="8" customFormat="false" ht="15" hidden="false" customHeight="false" outlineLevel="0" collapsed="false">
      <c r="A8" s="10" t="s">
        <v>109</v>
      </c>
      <c r="B8" s="10" t="s">
        <v>94</v>
      </c>
      <c r="C8" s="10" t="s">
        <v>110</v>
      </c>
      <c r="D8" s="10" t="s">
        <v>111</v>
      </c>
      <c r="E8" s="10"/>
    </row>
    <row r="9" customFormat="false" ht="23.85" hidden="false" customHeight="false" outlineLevel="0" collapsed="false">
      <c r="A9" s="9" t="s">
        <v>112</v>
      </c>
      <c r="B9" s="9" t="s">
        <v>94</v>
      </c>
      <c r="C9" s="9" t="s">
        <v>113</v>
      </c>
      <c r="D9" s="9" t="s">
        <v>114</v>
      </c>
      <c r="E9" s="9"/>
    </row>
    <row r="10" customFormat="false" ht="15" hidden="false" customHeight="false" outlineLevel="0" collapsed="false">
      <c r="A10" s="10" t="s">
        <v>115</v>
      </c>
      <c r="B10" s="10" t="s">
        <v>94</v>
      </c>
      <c r="C10" s="10" t="s">
        <v>116</v>
      </c>
      <c r="D10" s="10" t="s">
        <v>117</v>
      </c>
      <c r="E10" s="10"/>
    </row>
    <row r="11" customFormat="false" ht="15" hidden="false" customHeight="false" outlineLevel="0" collapsed="false">
      <c r="A11" s="9" t="s">
        <v>118</v>
      </c>
      <c r="B11" s="9" t="s">
        <v>94</v>
      </c>
      <c r="C11" s="9" t="s">
        <v>119</v>
      </c>
      <c r="D11" s="9" t="s">
        <v>120</v>
      </c>
      <c r="E11" s="9"/>
    </row>
    <row r="12" customFormat="false" ht="23.85" hidden="false" customHeight="false" outlineLevel="0" collapsed="false">
      <c r="A12" s="10" t="s">
        <v>121</v>
      </c>
      <c r="B12" s="10" t="s">
        <v>94</v>
      </c>
      <c r="C12" s="10" t="s">
        <v>122</v>
      </c>
      <c r="D12" s="10" t="s">
        <v>123</v>
      </c>
      <c r="E12" s="10"/>
    </row>
    <row r="13" customFormat="false" ht="15" hidden="false" customHeight="false" outlineLevel="0" collapsed="false">
      <c r="A13" s="9" t="s">
        <v>124</v>
      </c>
      <c r="B13" s="9" t="s">
        <v>94</v>
      </c>
      <c r="C13" s="9" t="s">
        <v>125</v>
      </c>
      <c r="D13" s="9" t="s">
        <v>126</v>
      </c>
      <c r="E13" s="9"/>
    </row>
    <row r="14" customFormat="false" ht="15" hidden="false" customHeight="false" outlineLevel="0" collapsed="false">
      <c r="A14" s="10" t="s">
        <v>127</v>
      </c>
      <c r="B14" s="10" t="s">
        <v>94</v>
      </c>
      <c r="C14" s="10" t="s">
        <v>128</v>
      </c>
      <c r="D14" s="10" t="s">
        <v>129</v>
      </c>
      <c r="E14" s="10"/>
    </row>
    <row r="15" customFormat="false" ht="15" hidden="false" customHeight="false" outlineLevel="0" collapsed="false">
      <c r="A15" s="9" t="s">
        <v>130</v>
      </c>
      <c r="B15" s="9" t="s">
        <v>94</v>
      </c>
      <c r="C15" s="9" t="s">
        <v>131</v>
      </c>
      <c r="D15" s="9" t="s">
        <v>132</v>
      </c>
      <c r="E15" s="9"/>
    </row>
    <row r="16" customFormat="false" ht="23.85" hidden="false" customHeight="false" outlineLevel="0" collapsed="false">
      <c r="A16" s="10" t="s">
        <v>133</v>
      </c>
      <c r="B16" s="10" t="s">
        <v>134</v>
      </c>
      <c r="C16" s="10" t="s">
        <v>135</v>
      </c>
      <c r="D16" s="10"/>
      <c r="E16" s="10" t="s">
        <v>136</v>
      </c>
    </row>
    <row r="17" customFormat="false" ht="23.85" hidden="false" customHeight="false" outlineLevel="0" collapsed="false">
      <c r="A17" s="9" t="s">
        <v>137</v>
      </c>
      <c r="B17" s="9" t="s">
        <v>134</v>
      </c>
      <c r="C17" s="9" t="s">
        <v>138</v>
      </c>
      <c r="D17" s="9"/>
      <c r="E17" s="9" t="s">
        <v>139</v>
      </c>
    </row>
    <row r="18" customFormat="false" ht="23.85" hidden="false" customHeight="false" outlineLevel="0" collapsed="false">
      <c r="A18" s="10" t="s">
        <v>140</v>
      </c>
      <c r="B18" s="10" t="s">
        <v>134</v>
      </c>
      <c r="C18" s="10" t="s">
        <v>141</v>
      </c>
      <c r="D18" s="10"/>
      <c r="E18" s="10" t="s">
        <v>142</v>
      </c>
    </row>
    <row r="19" customFormat="false" ht="23.85" hidden="false" customHeight="false" outlineLevel="0" collapsed="false">
      <c r="A19" s="9" t="s">
        <v>143</v>
      </c>
      <c r="B19" s="9" t="s">
        <v>134</v>
      </c>
      <c r="C19" s="9" t="s">
        <v>144</v>
      </c>
      <c r="D19" s="9"/>
      <c r="E19" s="9" t="s">
        <v>145</v>
      </c>
    </row>
    <row r="20" customFormat="false" ht="23.85" hidden="false" customHeight="false" outlineLevel="0" collapsed="false">
      <c r="A20" s="10" t="s">
        <v>146</v>
      </c>
      <c r="B20" s="10" t="s">
        <v>134</v>
      </c>
      <c r="C20" s="10" t="s">
        <v>147</v>
      </c>
      <c r="D20" s="10"/>
      <c r="E20" s="10" t="s">
        <v>148</v>
      </c>
    </row>
    <row r="21" customFormat="false" ht="15" hidden="false" customHeight="false" outlineLevel="0" collapsed="false">
      <c r="A21" s="9" t="s">
        <v>149</v>
      </c>
      <c r="B21" s="9" t="s">
        <v>134</v>
      </c>
      <c r="C21" s="9" t="s">
        <v>150</v>
      </c>
      <c r="D21" s="9"/>
      <c r="E21" s="9" t="s">
        <v>151</v>
      </c>
    </row>
    <row r="22" customFormat="false" ht="46.25" hidden="false" customHeight="false" outlineLevel="0" collapsed="false">
      <c r="A22" s="10" t="s">
        <v>152</v>
      </c>
      <c r="B22" s="10" t="s">
        <v>153</v>
      </c>
      <c r="C22" s="10" t="s">
        <v>154</v>
      </c>
      <c r="D22" s="10"/>
      <c r="E22" s="10" t="s">
        <v>155</v>
      </c>
    </row>
    <row r="23" customFormat="false" ht="23.85" hidden="false" customHeight="false" outlineLevel="0" collapsed="false">
      <c r="A23" s="9" t="s">
        <v>156</v>
      </c>
      <c r="B23" s="9" t="s">
        <v>153</v>
      </c>
      <c r="C23" s="9" t="s">
        <v>157</v>
      </c>
      <c r="D23" s="9"/>
      <c r="E23" s="9" t="s">
        <v>158</v>
      </c>
    </row>
    <row r="24" customFormat="false" ht="46.25" hidden="false" customHeight="false" outlineLevel="0" collapsed="false">
      <c r="A24" s="10" t="s">
        <v>159</v>
      </c>
      <c r="B24" s="10" t="s">
        <v>153</v>
      </c>
      <c r="C24" s="10" t="s">
        <v>160</v>
      </c>
      <c r="D24" s="10"/>
      <c r="E24" s="10" t="s">
        <v>161</v>
      </c>
    </row>
    <row r="25" customFormat="false" ht="35.05" hidden="false" customHeight="false" outlineLevel="0" collapsed="false">
      <c r="A25" s="9" t="s">
        <v>162</v>
      </c>
      <c r="B25" s="9" t="s">
        <v>153</v>
      </c>
      <c r="C25" s="9" t="s">
        <v>163</v>
      </c>
      <c r="D25" s="9"/>
      <c r="E25" s="9" t="s">
        <v>164</v>
      </c>
    </row>
    <row r="26" customFormat="false" ht="35.05" hidden="false" customHeight="false" outlineLevel="0" collapsed="false">
      <c r="A26" s="10" t="s">
        <v>165</v>
      </c>
      <c r="B26" s="10" t="s">
        <v>153</v>
      </c>
      <c r="C26" s="10" t="s">
        <v>166</v>
      </c>
      <c r="D26" s="10"/>
      <c r="E26" s="10" t="s">
        <v>167</v>
      </c>
    </row>
    <row r="27" customFormat="false" ht="23.85" hidden="false" customHeight="false" outlineLevel="0" collapsed="false">
      <c r="A27" s="9" t="s">
        <v>168</v>
      </c>
      <c r="B27" s="9" t="s">
        <v>153</v>
      </c>
      <c r="C27" s="9" t="s">
        <v>169</v>
      </c>
      <c r="D27" s="9"/>
      <c r="E27" s="9" t="s">
        <v>170</v>
      </c>
    </row>
  </sheetData>
  <autoFilter ref="A2:E2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66"/>
    <col collapsed="false" customWidth="true" hidden="false" outlineLevel="0" max="3" min="3" style="0" width="16"/>
    <col collapsed="false" customWidth="true" hidden="false" outlineLevel="0" max="4" min="4" style="0" width="10"/>
    <col collapsed="false" customWidth="true" hidden="false" outlineLevel="0" max="5" min="5" style="0" width="86"/>
    <col collapsed="false" customWidth="true" hidden="false" outlineLevel="0" max="6" min="6" style="0" width="12"/>
  </cols>
  <sheetData>
    <row r="1" customFormat="false" ht="25.5" hidden="false" customHeight="true" outlineLevel="0" collapsed="false">
      <c r="A1" s="7" t="s">
        <v>171</v>
      </c>
      <c r="B1" s="7"/>
      <c r="C1" s="7"/>
      <c r="D1" s="7"/>
      <c r="E1" s="7"/>
      <c r="F1" s="7"/>
    </row>
    <row r="2" customFormat="false" ht="30" hidden="false" customHeight="true" outlineLevel="0" collapsed="false">
      <c r="A2" s="8" t="s">
        <v>33</v>
      </c>
      <c r="B2" s="8" t="s">
        <v>172</v>
      </c>
      <c r="C2" s="8" t="s">
        <v>173</v>
      </c>
      <c r="D2" s="8" t="s">
        <v>174</v>
      </c>
      <c r="E2" s="8" t="s">
        <v>175</v>
      </c>
      <c r="F2" s="8" t="s">
        <v>176</v>
      </c>
    </row>
    <row r="3" customFormat="false" ht="46.25" hidden="false" customHeight="false" outlineLevel="0" collapsed="false">
      <c r="A3" s="9" t="s">
        <v>177</v>
      </c>
      <c r="B3" s="9" t="s">
        <v>178</v>
      </c>
      <c r="C3" s="9" t="s">
        <v>179</v>
      </c>
      <c r="D3" s="9" t="s">
        <v>180</v>
      </c>
      <c r="E3" s="9" t="s">
        <v>181</v>
      </c>
      <c r="F3" s="9" t="s">
        <v>182</v>
      </c>
    </row>
    <row r="4" customFormat="false" ht="35.05" hidden="false" customHeight="false" outlineLevel="0" collapsed="false">
      <c r="A4" s="10" t="s">
        <v>183</v>
      </c>
      <c r="B4" s="10" t="s">
        <v>184</v>
      </c>
      <c r="C4" s="10" t="s">
        <v>185</v>
      </c>
      <c r="D4" s="10" t="s">
        <v>180</v>
      </c>
      <c r="E4" s="10" t="s">
        <v>186</v>
      </c>
      <c r="F4" s="10" t="s">
        <v>182</v>
      </c>
    </row>
    <row r="5" customFormat="false" ht="23.85" hidden="false" customHeight="false" outlineLevel="0" collapsed="false">
      <c r="A5" s="9" t="s">
        <v>187</v>
      </c>
      <c r="B5" s="9" t="s">
        <v>188</v>
      </c>
      <c r="C5" s="9" t="s">
        <v>63</v>
      </c>
      <c r="D5" s="9" t="s">
        <v>180</v>
      </c>
      <c r="E5" s="9" t="s">
        <v>189</v>
      </c>
      <c r="F5" s="9" t="s">
        <v>182</v>
      </c>
    </row>
    <row r="6" customFormat="false" ht="23.85" hidden="false" customHeight="false" outlineLevel="0" collapsed="false">
      <c r="A6" s="10" t="s">
        <v>190</v>
      </c>
      <c r="B6" s="10" t="s">
        <v>191</v>
      </c>
      <c r="C6" s="10" t="s">
        <v>40</v>
      </c>
      <c r="D6" s="10" t="s">
        <v>192</v>
      </c>
      <c r="E6" s="10" t="s">
        <v>193</v>
      </c>
      <c r="F6" s="10" t="s">
        <v>182</v>
      </c>
    </row>
    <row r="7" customFormat="false" ht="35.05" hidden="false" customHeight="false" outlineLevel="0" collapsed="false">
      <c r="A7" s="9" t="s">
        <v>194</v>
      </c>
      <c r="B7" s="9" t="s">
        <v>195</v>
      </c>
      <c r="C7" s="9" t="s">
        <v>40</v>
      </c>
      <c r="D7" s="9" t="s">
        <v>180</v>
      </c>
      <c r="E7" s="9" t="s">
        <v>196</v>
      </c>
      <c r="F7" s="9" t="s">
        <v>182</v>
      </c>
    </row>
    <row r="8" customFormat="false" ht="35.05" hidden="false" customHeight="false" outlineLevel="0" collapsed="false">
      <c r="A8" s="10" t="s">
        <v>197</v>
      </c>
      <c r="B8" s="10" t="s">
        <v>198</v>
      </c>
      <c r="C8" s="10" t="s">
        <v>199</v>
      </c>
      <c r="D8" s="10" t="s">
        <v>180</v>
      </c>
      <c r="E8" s="10" t="s">
        <v>200</v>
      </c>
      <c r="F8" s="10" t="s">
        <v>182</v>
      </c>
    </row>
    <row r="9" customFormat="false" ht="35.05" hidden="false" customHeight="false" outlineLevel="0" collapsed="false">
      <c r="A9" s="9" t="s">
        <v>201</v>
      </c>
      <c r="B9" s="9" t="s">
        <v>202</v>
      </c>
      <c r="C9" s="9" t="s">
        <v>40</v>
      </c>
      <c r="D9" s="9" t="s">
        <v>180</v>
      </c>
      <c r="E9" s="9" t="s">
        <v>203</v>
      </c>
      <c r="F9" s="9" t="s">
        <v>182</v>
      </c>
    </row>
    <row r="10" customFormat="false" ht="35.05" hidden="false" customHeight="false" outlineLevel="0" collapsed="false">
      <c r="A10" s="10" t="s">
        <v>102</v>
      </c>
      <c r="B10" s="10" t="s">
        <v>204</v>
      </c>
      <c r="C10" s="10" t="s">
        <v>205</v>
      </c>
      <c r="D10" s="10" t="s">
        <v>180</v>
      </c>
      <c r="E10" s="10" t="s">
        <v>206</v>
      </c>
      <c r="F10" s="10" t="s">
        <v>182</v>
      </c>
    </row>
    <row r="11" customFormat="false" ht="23.85" hidden="false" customHeight="false" outlineLevel="0" collapsed="false">
      <c r="A11" s="9" t="s">
        <v>207</v>
      </c>
      <c r="B11" s="9" t="s">
        <v>208</v>
      </c>
      <c r="C11" s="9" t="s">
        <v>40</v>
      </c>
      <c r="D11" s="9" t="s">
        <v>180</v>
      </c>
      <c r="E11" s="9" t="s">
        <v>209</v>
      </c>
      <c r="F11" s="9" t="s">
        <v>182</v>
      </c>
    </row>
    <row r="12" customFormat="false" ht="23.85" hidden="false" customHeight="false" outlineLevel="0" collapsed="false">
      <c r="A12" s="10" t="s">
        <v>210</v>
      </c>
      <c r="B12" s="10" t="s">
        <v>211</v>
      </c>
      <c r="C12" s="10" t="s">
        <v>40</v>
      </c>
      <c r="D12" s="10" t="s">
        <v>180</v>
      </c>
      <c r="E12" s="10" t="s">
        <v>212</v>
      </c>
      <c r="F12" s="10" t="s">
        <v>182</v>
      </c>
    </row>
    <row r="13" customFormat="false" ht="35.05" hidden="false" customHeight="false" outlineLevel="0" collapsed="false">
      <c r="A13" s="9" t="s">
        <v>213</v>
      </c>
      <c r="B13" s="9" t="s">
        <v>214</v>
      </c>
      <c r="C13" s="9" t="s">
        <v>215</v>
      </c>
      <c r="D13" s="9" t="s">
        <v>180</v>
      </c>
      <c r="E13" s="9" t="s">
        <v>216</v>
      </c>
      <c r="F13" s="9" t="s">
        <v>182</v>
      </c>
    </row>
    <row r="14" customFormat="false" ht="35.05" hidden="false" customHeight="false" outlineLevel="0" collapsed="false">
      <c r="A14" s="10" t="s">
        <v>217</v>
      </c>
      <c r="B14" s="10" t="s">
        <v>218</v>
      </c>
      <c r="C14" s="10" t="s">
        <v>219</v>
      </c>
      <c r="D14" s="10" t="s">
        <v>180</v>
      </c>
      <c r="E14" s="10" t="s">
        <v>220</v>
      </c>
      <c r="F14" s="10" t="s">
        <v>182</v>
      </c>
    </row>
    <row r="15" customFormat="false" ht="35.05" hidden="false" customHeight="false" outlineLevel="0" collapsed="false">
      <c r="A15" s="9" t="s">
        <v>221</v>
      </c>
      <c r="B15" s="9" t="s">
        <v>222</v>
      </c>
      <c r="C15" s="9" t="s">
        <v>223</v>
      </c>
      <c r="D15" s="9" t="s">
        <v>180</v>
      </c>
      <c r="E15" s="9" t="s">
        <v>224</v>
      </c>
      <c r="F15" s="9" t="s">
        <v>182</v>
      </c>
    </row>
    <row r="16" customFormat="false" ht="35.05" hidden="false" customHeight="false" outlineLevel="0" collapsed="false">
      <c r="A16" s="10" t="s">
        <v>225</v>
      </c>
      <c r="B16" s="10" t="s">
        <v>226</v>
      </c>
      <c r="C16" s="10" t="s">
        <v>223</v>
      </c>
      <c r="D16" s="10" t="s">
        <v>180</v>
      </c>
      <c r="E16" s="10" t="s">
        <v>227</v>
      </c>
      <c r="F16" s="10" t="s">
        <v>182</v>
      </c>
    </row>
    <row r="17" customFormat="false" ht="46.25" hidden="false" customHeight="false" outlineLevel="0" collapsed="false">
      <c r="A17" s="9" t="s">
        <v>111</v>
      </c>
      <c r="B17" s="9" t="s">
        <v>228</v>
      </c>
      <c r="C17" s="9" t="s">
        <v>53</v>
      </c>
      <c r="D17" s="9" t="s">
        <v>180</v>
      </c>
      <c r="E17" s="9" t="s">
        <v>229</v>
      </c>
      <c r="F17" s="9" t="s">
        <v>182</v>
      </c>
    </row>
    <row r="18" customFormat="false" ht="35.05" hidden="false" customHeight="false" outlineLevel="0" collapsed="false">
      <c r="A18" s="10" t="s">
        <v>230</v>
      </c>
      <c r="B18" s="10" t="s">
        <v>231</v>
      </c>
      <c r="C18" s="10" t="s">
        <v>232</v>
      </c>
      <c r="D18" s="10" t="s">
        <v>180</v>
      </c>
      <c r="E18" s="10" t="s">
        <v>233</v>
      </c>
      <c r="F18" s="10" t="s">
        <v>182</v>
      </c>
    </row>
    <row r="19" customFormat="false" ht="23.85" hidden="false" customHeight="false" outlineLevel="0" collapsed="false">
      <c r="A19" s="9" t="s">
        <v>117</v>
      </c>
      <c r="B19" s="9" t="s">
        <v>234</v>
      </c>
      <c r="C19" s="9" t="s">
        <v>47</v>
      </c>
      <c r="D19" s="9" t="s">
        <v>180</v>
      </c>
      <c r="E19" s="9" t="s">
        <v>235</v>
      </c>
      <c r="F19" s="9" t="s">
        <v>182</v>
      </c>
    </row>
    <row r="20" customFormat="false" ht="23.85" hidden="false" customHeight="false" outlineLevel="0" collapsed="false">
      <c r="A20" s="10" t="s">
        <v>236</v>
      </c>
      <c r="B20" s="10" t="s">
        <v>237</v>
      </c>
      <c r="C20" s="10" t="s">
        <v>232</v>
      </c>
      <c r="D20" s="10" t="s">
        <v>180</v>
      </c>
      <c r="E20" s="10" t="s">
        <v>238</v>
      </c>
      <c r="F20" s="10" t="s">
        <v>182</v>
      </c>
    </row>
    <row r="21" customFormat="false" ht="23.85" hidden="false" customHeight="false" outlineLevel="0" collapsed="false">
      <c r="A21" s="9" t="s">
        <v>239</v>
      </c>
      <c r="B21" s="9" t="s">
        <v>240</v>
      </c>
      <c r="C21" s="9" t="s">
        <v>53</v>
      </c>
      <c r="D21" s="9" t="s">
        <v>192</v>
      </c>
      <c r="E21" s="9" t="s">
        <v>241</v>
      </c>
      <c r="F21" s="9" t="s">
        <v>182</v>
      </c>
    </row>
    <row r="22" customFormat="false" ht="23.85" hidden="false" customHeight="false" outlineLevel="0" collapsed="false">
      <c r="A22" s="10" t="s">
        <v>242</v>
      </c>
      <c r="B22" s="10" t="s">
        <v>243</v>
      </c>
      <c r="C22" s="10" t="s">
        <v>244</v>
      </c>
      <c r="D22" s="10" t="s">
        <v>192</v>
      </c>
      <c r="E22" s="10" t="s">
        <v>245</v>
      </c>
      <c r="F22" s="10" t="s">
        <v>182</v>
      </c>
    </row>
    <row r="23" customFormat="false" ht="35.05" hidden="false" customHeight="false" outlineLevel="0" collapsed="false">
      <c r="A23" s="9" t="s">
        <v>120</v>
      </c>
      <c r="B23" s="9" t="s">
        <v>246</v>
      </c>
      <c r="C23" s="9" t="s">
        <v>205</v>
      </c>
      <c r="D23" s="9" t="s">
        <v>180</v>
      </c>
      <c r="E23" s="9" t="s">
        <v>247</v>
      </c>
      <c r="F23" s="9" t="s">
        <v>182</v>
      </c>
    </row>
    <row r="24" customFormat="false" ht="23.85" hidden="false" customHeight="false" outlineLevel="0" collapsed="false">
      <c r="A24" s="10" t="s">
        <v>248</v>
      </c>
      <c r="B24" s="10" t="s">
        <v>249</v>
      </c>
      <c r="C24" s="10" t="s">
        <v>58</v>
      </c>
      <c r="D24" s="10" t="s">
        <v>180</v>
      </c>
      <c r="E24" s="10" t="s">
        <v>250</v>
      </c>
      <c r="F24" s="10" t="s">
        <v>182</v>
      </c>
    </row>
    <row r="25" customFormat="false" ht="23.85" hidden="false" customHeight="false" outlineLevel="0" collapsed="false">
      <c r="A25" s="9" t="s">
        <v>251</v>
      </c>
      <c r="B25" s="9" t="s">
        <v>252</v>
      </c>
      <c r="C25" s="9" t="s">
        <v>58</v>
      </c>
      <c r="D25" s="9" t="s">
        <v>192</v>
      </c>
      <c r="E25" s="9" t="s">
        <v>253</v>
      </c>
      <c r="F25" s="9" t="s">
        <v>182</v>
      </c>
    </row>
    <row r="26" customFormat="false" ht="23.85" hidden="false" customHeight="false" outlineLevel="0" collapsed="false">
      <c r="A26" s="10" t="s">
        <v>254</v>
      </c>
      <c r="B26" s="10" t="s">
        <v>255</v>
      </c>
      <c r="C26" s="10" t="s">
        <v>232</v>
      </c>
      <c r="D26" s="10" t="s">
        <v>192</v>
      </c>
      <c r="E26" s="10" t="s">
        <v>256</v>
      </c>
      <c r="F26" s="10" t="s">
        <v>182</v>
      </c>
    </row>
    <row r="27" customFormat="false" ht="23.85" hidden="false" customHeight="false" outlineLevel="0" collapsed="false">
      <c r="A27" s="9" t="s">
        <v>257</v>
      </c>
      <c r="B27" s="9" t="s">
        <v>258</v>
      </c>
      <c r="C27" s="9" t="s">
        <v>259</v>
      </c>
      <c r="D27" s="9" t="s">
        <v>180</v>
      </c>
      <c r="E27" s="9" t="s">
        <v>260</v>
      </c>
      <c r="F27" s="9" t="s">
        <v>182</v>
      </c>
    </row>
    <row r="28" customFormat="false" ht="23.85" hidden="false" customHeight="false" outlineLevel="0" collapsed="false">
      <c r="A28" s="10" t="s">
        <v>261</v>
      </c>
      <c r="B28" s="10" t="s">
        <v>262</v>
      </c>
      <c r="C28" s="10" t="s">
        <v>259</v>
      </c>
      <c r="D28" s="10" t="s">
        <v>180</v>
      </c>
      <c r="E28" s="10" t="s">
        <v>263</v>
      </c>
      <c r="F28" s="10" t="s">
        <v>182</v>
      </c>
    </row>
    <row r="29" customFormat="false" ht="23.85" hidden="false" customHeight="false" outlineLevel="0" collapsed="false">
      <c r="A29" s="9" t="s">
        <v>264</v>
      </c>
      <c r="B29" s="9" t="s">
        <v>265</v>
      </c>
      <c r="C29" s="9" t="s">
        <v>63</v>
      </c>
      <c r="D29" s="9" t="s">
        <v>192</v>
      </c>
      <c r="E29" s="9" t="s">
        <v>266</v>
      </c>
      <c r="F29" s="9" t="s">
        <v>182</v>
      </c>
    </row>
    <row r="30" customFormat="false" ht="35.05" hidden="false" customHeight="false" outlineLevel="0" collapsed="false">
      <c r="A30" s="10" t="s">
        <v>267</v>
      </c>
      <c r="B30" s="10" t="s">
        <v>268</v>
      </c>
      <c r="C30" s="10" t="s">
        <v>63</v>
      </c>
      <c r="D30" s="10" t="s">
        <v>269</v>
      </c>
      <c r="E30" s="10" t="s">
        <v>270</v>
      </c>
      <c r="F30" s="10" t="s">
        <v>182</v>
      </c>
    </row>
    <row r="31" customFormat="false" ht="23.85" hidden="false" customHeight="false" outlineLevel="0" collapsed="false">
      <c r="A31" s="9" t="s">
        <v>271</v>
      </c>
      <c r="B31" s="9" t="s">
        <v>272</v>
      </c>
      <c r="C31" s="9" t="s">
        <v>40</v>
      </c>
      <c r="D31" s="9" t="s">
        <v>180</v>
      </c>
      <c r="E31" s="9" t="s">
        <v>273</v>
      </c>
      <c r="F31" s="9" t="s">
        <v>182</v>
      </c>
    </row>
  </sheetData>
  <autoFilter ref="A2:F31"/>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4" min="3" style="0" width="52"/>
    <col collapsed="false" customWidth="true" hidden="false" outlineLevel="0" max="5" min="5" style="0" width="66"/>
    <col collapsed="false" customWidth="true" hidden="false" outlineLevel="0" max="6" min="6" style="0" width="14"/>
    <col collapsed="false" customWidth="true" hidden="false" outlineLevel="0" max="7" min="7" style="0" width="10"/>
  </cols>
  <sheetData>
    <row r="1" customFormat="false" ht="25.5" hidden="false" customHeight="true" outlineLevel="0" collapsed="false">
      <c r="A1" s="7" t="s">
        <v>274</v>
      </c>
      <c r="B1" s="7"/>
      <c r="C1" s="7"/>
      <c r="D1" s="7"/>
      <c r="E1" s="7"/>
      <c r="F1" s="7"/>
      <c r="G1" s="7"/>
    </row>
    <row r="2" customFormat="false" ht="30" hidden="false" customHeight="true" outlineLevel="0" collapsed="false">
      <c r="A2" s="8" t="s">
        <v>33</v>
      </c>
      <c r="B2" s="8" t="s">
        <v>275</v>
      </c>
      <c r="C2" s="8" t="s">
        <v>172</v>
      </c>
      <c r="D2" s="8" t="s">
        <v>276</v>
      </c>
      <c r="E2" s="8" t="s">
        <v>277</v>
      </c>
      <c r="F2" s="8" t="s">
        <v>173</v>
      </c>
      <c r="G2" s="8" t="s">
        <v>174</v>
      </c>
    </row>
    <row r="3" customFormat="false" ht="23.85" hidden="false" customHeight="false" outlineLevel="0" collapsed="false">
      <c r="A3" s="9" t="s">
        <v>278</v>
      </c>
      <c r="B3" s="9" t="s">
        <v>279</v>
      </c>
      <c r="C3" s="9" t="s">
        <v>280</v>
      </c>
      <c r="D3" s="9" t="s">
        <v>281</v>
      </c>
      <c r="E3" s="9" t="s">
        <v>282</v>
      </c>
      <c r="F3" s="9" t="s">
        <v>47</v>
      </c>
      <c r="G3" s="9" t="s">
        <v>180</v>
      </c>
    </row>
    <row r="4" customFormat="false" ht="23.85" hidden="false" customHeight="false" outlineLevel="0" collapsed="false">
      <c r="A4" s="10" t="s">
        <v>283</v>
      </c>
      <c r="B4" s="10" t="s">
        <v>279</v>
      </c>
      <c r="C4" s="10" t="s">
        <v>284</v>
      </c>
      <c r="D4" s="10" t="s">
        <v>285</v>
      </c>
      <c r="E4" s="10" t="s">
        <v>286</v>
      </c>
      <c r="F4" s="10" t="s">
        <v>40</v>
      </c>
      <c r="G4" s="10" t="s">
        <v>180</v>
      </c>
    </row>
    <row r="5" customFormat="false" ht="35.05" hidden="false" customHeight="false" outlineLevel="0" collapsed="false">
      <c r="A5" s="9" t="s">
        <v>287</v>
      </c>
      <c r="B5" s="9" t="s">
        <v>288</v>
      </c>
      <c r="C5" s="9" t="s">
        <v>289</v>
      </c>
      <c r="D5" s="9" t="s">
        <v>290</v>
      </c>
      <c r="E5" s="9" t="s">
        <v>291</v>
      </c>
      <c r="F5" s="9" t="s">
        <v>68</v>
      </c>
      <c r="G5" s="9" t="s">
        <v>192</v>
      </c>
    </row>
    <row r="6" customFormat="false" ht="35.05" hidden="false" customHeight="false" outlineLevel="0" collapsed="false">
      <c r="A6" s="10" t="s">
        <v>292</v>
      </c>
      <c r="B6" s="10" t="s">
        <v>293</v>
      </c>
      <c r="C6" s="10" t="s">
        <v>294</v>
      </c>
      <c r="D6" s="10" t="s">
        <v>295</v>
      </c>
      <c r="E6" s="10" t="s">
        <v>296</v>
      </c>
      <c r="F6" s="10" t="s">
        <v>179</v>
      </c>
      <c r="G6" s="10" t="s">
        <v>180</v>
      </c>
    </row>
    <row r="7" customFormat="false" ht="35.05" hidden="false" customHeight="false" outlineLevel="0" collapsed="false">
      <c r="A7" s="9" t="s">
        <v>297</v>
      </c>
      <c r="B7" s="9" t="s">
        <v>293</v>
      </c>
      <c r="C7" s="9" t="s">
        <v>298</v>
      </c>
      <c r="D7" s="9" t="s">
        <v>299</v>
      </c>
      <c r="E7" s="9" t="s">
        <v>300</v>
      </c>
      <c r="F7" s="9" t="s">
        <v>68</v>
      </c>
      <c r="G7" s="9" t="s">
        <v>180</v>
      </c>
    </row>
    <row r="8" customFormat="false" ht="23.85" hidden="false" customHeight="false" outlineLevel="0" collapsed="false">
      <c r="A8" s="10" t="s">
        <v>301</v>
      </c>
      <c r="B8" s="10" t="s">
        <v>293</v>
      </c>
      <c r="C8" s="10" t="s">
        <v>302</v>
      </c>
      <c r="D8" s="10" t="s">
        <v>303</v>
      </c>
      <c r="E8" s="10" t="s">
        <v>304</v>
      </c>
      <c r="F8" s="10" t="s">
        <v>179</v>
      </c>
      <c r="G8" s="10" t="s">
        <v>180</v>
      </c>
    </row>
    <row r="9" customFormat="false" ht="23.85" hidden="false" customHeight="false" outlineLevel="0" collapsed="false">
      <c r="A9" s="9" t="s">
        <v>305</v>
      </c>
      <c r="B9" s="9" t="s">
        <v>293</v>
      </c>
      <c r="C9" s="9" t="s">
        <v>306</v>
      </c>
      <c r="D9" s="9" t="s">
        <v>307</v>
      </c>
      <c r="E9" s="9" t="s">
        <v>308</v>
      </c>
      <c r="F9" s="9" t="s">
        <v>68</v>
      </c>
      <c r="G9" s="9" t="s">
        <v>180</v>
      </c>
    </row>
    <row r="10" customFormat="false" ht="35.05" hidden="false" customHeight="false" outlineLevel="0" collapsed="false">
      <c r="A10" s="10" t="s">
        <v>309</v>
      </c>
      <c r="B10" s="10" t="s">
        <v>293</v>
      </c>
      <c r="C10" s="10" t="s">
        <v>310</v>
      </c>
      <c r="D10" s="10" t="s">
        <v>311</v>
      </c>
      <c r="E10" s="10" t="s">
        <v>312</v>
      </c>
      <c r="F10" s="10" t="s">
        <v>73</v>
      </c>
      <c r="G10" s="10" t="s">
        <v>180</v>
      </c>
    </row>
    <row r="11" customFormat="false" ht="23.85" hidden="false" customHeight="false" outlineLevel="0" collapsed="false">
      <c r="A11" s="9" t="s">
        <v>313</v>
      </c>
      <c r="B11" s="9" t="s">
        <v>314</v>
      </c>
      <c r="C11" s="9" t="s">
        <v>315</v>
      </c>
      <c r="D11" s="9" t="s">
        <v>316</v>
      </c>
      <c r="E11" s="9" t="s">
        <v>317</v>
      </c>
      <c r="F11" s="9" t="s">
        <v>40</v>
      </c>
      <c r="G11" s="9" t="s">
        <v>192</v>
      </c>
    </row>
    <row r="12" customFormat="false" ht="35.05" hidden="false" customHeight="false" outlineLevel="0" collapsed="false">
      <c r="A12" s="10" t="s">
        <v>318</v>
      </c>
      <c r="B12" s="10" t="s">
        <v>314</v>
      </c>
      <c r="C12" s="10" t="s">
        <v>319</v>
      </c>
      <c r="D12" s="10" t="s">
        <v>320</v>
      </c>
      <c r="E12" s="10" t="s">
        <v>321</v>
      </c>
      <c r="F12" s="10" t="s">
        <v>40</v>
      </c>
      <c r="G12" s="10" t="s">
        <v>192</v>
      </c>
    </row>
    <row r="13" customFormat="false" ht="23.85" hidden="false" customHeight="false" outlineLevel="0" collapsed="false">
      <c r="A13" s="9" t="s">
        <v>322</v>
      </c>
      <c r="B13" s="9" t="s">
        <v>323</v>
      </c>
      <c r="C13" s="9" t="s">
        <v>324</v>
      </c>
      <c r="D13" s="9" t="s">
        <v>325</v>
      </c>
      <c r="E13" s="9" t="s">
        <v>326</v>
      </c>
      <c r="F13" s="9" t="s">
        <v>58</v>
      </c>
      <c r="G13" s="9" t="s">
        <v>180</v>
      </c>
    </row>
    <row r="14" customFormat="false" ht="35.05" hidden="false" customHeight="false" outlineLevel="0" collapsed="false">
      <c r="A14" s="10" t="s">
        <v>327</v>
      </c>
      <c r="B14" s="10" t="s">
        <v>328</v>
      </c>
      <c r="C14" s="10" t="s">
        <v>329</v>
      </c>
      <c r="D14" s="10" t="s">
        <v>330</v>
      </c>
      <c r="E14" s="10" t="s">
        <v>331</v>
      </c>
      <c r="F14" s="10" t="s">
        <v>83</v>
      </c>
      <c r="G14" s="10" t="s">
        <v>180</v>
      </c>
    </row>
    <row r="15" customFormat="false" ht="35.05" hidden="false" customHeight="false" outlineLevel="0" collapsed="false">
      <c r="A15" s="9" t="s">
        <v>332</v>
      </c>
      <c r="B15" s="9" t="s">
        <v>333</v>
      </c>
      <c r="C15" s="9" t="s">
        <v>334</v>
      </c>
      <c r="D15" s="9" t="s">
        <v>335</v>
      </c>
      <c r="E15" s="9" t="s">
        <v>336</v>
      </c>
      <c r="F15" s="9" t="s">
        <v>68</v>
      </c>
      <c r="G15" s="9" t="s">
        <v>180</v>
      </c>
    </row>
  </sheetData>
  <autoFilter ref="A2:G15"/>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3" min="3" style="0" width="74"/>
    <col collapsed="false" customWidth="true" hidden="false" outlineLevel="0" max="4" min="4" style="0" width="88"/>
  </cols>
  <sheetData>
    <row r="1" customFormat="false" ht="25.5" hidden="false" customHeight="true" outlineLevel="0" collapsed="false">
      <c r="A1" s="7" t="s">
        <v>337</v>
      </c>
      <c r="B1" s="7"/>
      <c r="C1" s="7"/>
      <c r="D1" s="7"/>
    </row>
    <row r="2" customFormat="false" ht="30" hidden="false" customHeight="true" outlineLevel="0" collapsed="false">
      <c r="A2" s="8" t="s">
        <v>33</v>
      </c>
      <c r="B2" s="8" t="s">
        <v>89</v>
      </c>
      <c r="C2" s="8" t="s">
        <v>338</v>
      </c>
      <c r="D2" s="8" t="s">
        <v>339</v>
      </c>
    </row>
    <row r="3" customFormat="false" ht="35.05" hidden="false" customHeight="false" outlineLevel="0" collapsed="false">
      <c r="A3" s="9" t="s">
        <v>340</v>
      </c>
      <c r="B3" s="9" t="s">
        <v>341</v>
      </c>
      <c r="C3" s="9" t="s">
        <v>342</v>
      </c>
      <c r="D3" s="9" t="s">
        <v>343</v>
      </c>
    </row>
    <row r="4" customFormat="false" ht="35.05" hidden="false" customHeight="false" outlineLevel="0" collapsed="false">
      <c r="A4" s="10" t="s">
        <v>344</v>
      </c>
      <c r="B4" s="10" t="s">
        <v>345</v>
      </c>
      <c r="C4" s="10" t="s">
        <v>346</v>
      </c>
      <c r="D4" s="10" t="s">
        <v>347</v>
      </c>
    </row>
    <row r="5" customFormat="false" ht="35.05" hidden="false" customHeight="false" outlineLevel="0" collapsed="false">
      <c r="A5" s="9" t="s">
        <v>348</v>
      </c>
      <c r="B5" s="9" t="s">
        <v>349</v>
      </c>
      <c r="C5" s="9" t="s">
        <v>350</v>
      </c>
      <c r="D5" s="9" t="s">
        <v>351</v>
      </c>
    </row>
    <row r="6" customFormat="false" ht="23.85" hidden="false" customHeight="false" outlineLevel="0" collapsed="false">
      <c r="A6" s="10" t="s">
        <v>352</v>
      </c>
      <c r="B6" s="10" t="s">
        <v>353</v>
      </c>
      <c r="C6" s="10" t="s">
        <v>354</v>
      </c>
      <c r="D6" s="10" t="s">
        <v>355</v>
      </c>
    </row>
    <row r="7" customFormat="false" ht="23.85" hidden="false" customHeight="false" outlineLevel="0" collapsed="false">
      <c r="A7" s="9" t="s">
        <v>356</v>
      </c>
      <c r="B7" s="9" t="s">
        <v>293</v>
      </c>
      <c r="C7" s="9" t="s">
        <v>357</v>
      </c>
      <c r="D7" s="9" t="s">
        <v>358</v>
      </c>
    </row>
    <row r="8" customFormat="false" ht="35.05" hidden="false" customHeight="false" outlineLevel="0" collapsed="false">
      <c r="A8" s="10" t="s">
        <v>359</v>
      </c>
      <c r="B8" s="10" t="s">
        <v>360</v>
      </c>
      <c r="C8" s="10" t="s">
        <v>361</v>
      </c>
      <c r="D8" s="10" t="s">
        <v>362</v>
      </c>
    </row>
    <row r="9" customFormat="false" ht="35.05" hidden="false" customHeight="false" outlineLevel="0" collapsed="false">
      <c r="A9" s="9" t="s">
        <v>363</v>
      </c>
      <c r="B9" s="9" t="s">
        <v>364</v>
      </c>
      <c r="C9" s="9" t="s">
        <v>365</v>
      </c>
      <c r="D9" s="9" t="s">
        <v>366</v>
      </c>
    </row>
    <row r="10" customFormat="false" ht="23.85" hidden="false" customHeight="false" outlineLevel="0" collapsed="false">
      <c r="A10" s="10" t="s">
        <v>367</v>
      </c>
      <c r="B10" s="10" t="s">
        <v>368</v>
      </c>
      <c r="C10" s="10" t="s">
        <v>369</v>
      </c>
      <c r="D10" s="10" t="s">
        <v>370</v>
      </c>
    </row>
  </sheetData>
  <autoFilter ref="A2:D10"/>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8"/>
    <col collapsed="false" customWidth="true" hidden="false" outlineLevel="0" max="3" min="3" style="0" width="11"/>
    <col collapsed="false" customWidth="true" hidden="false" outlineLevel="0" max="4" min="4" style="0" width="74"/>
    <col collapsed="false" customWidth="true" hidden="false" outlineLevel="0" max="5" min="5" style="0" width="10"/>
    <col collapsed="false" customWidth="true" hidden="false" outlineLevel="0" max="6" min="6" style="0" width="46"/>
    <col collapsed="false" customWidth="true" hidden="false" outlineLevel="0" max="7" min="7" style="0" width="20"/>
    <col collapsed="false" customWidth="true" hidden="false" outlineLevel="0" max="9" min="8" style="0" width="14"/>
    <col collapsed="false" customWidth="true" hidden="false" outlineLevel="0" max="10" min="10" style="0" width="16"/>
    <col collapsed="false" customWidth="true" hidden="false" outlineLevel="0" max="11" min="11" style="0" width="14"/>
    <col collapsed="false" customWidth="true" hidden="false" outlineLevel="0" max="12" min="12" style="0" width="18"/>
    <col collapsed="false" customWidth="true" hidden="false" outlineLevel="0" max="13" min="13" style="0" width="12"/>
  </cols>
  <sheetData>
    <row r="1" customFormat="false" ht="25.5" hidden="false" customHeight="true" outlineLevel="0" collapsed="false">
      <c r="A1" s="7" t="s">
        <v>371</v>
      </c>
      <c r="B1" s="7"/>
      <c r="C1" s="7"/>
      <c r="D1" s="7"/>
      <c r="E1" s="7"/>
      <c r="F1" s="7"/>
      <c r="G1" s="7"/>
      <c r="H1" s="7"/>
      <c r="I1" s="7"/>
      <c r="J1" s="7"/>
      <c r="K1" s="7"/>
      <c r="L1" s="7"/>
      <c r="M1" s="7"/>
    </row>
    <row r="2" customFormat="false" ht="30" hidden="false" customHeight="true" outlineLevel="0" collapsed="false">
      <c r="A2" s="8" t="s">
        <v>372</v>
      </c>
      <c r="B2" s="8" t="s">
        <v>373</v>
      </c>
      <c r="C2" s="8" t="s">
        <v>374</v>
      </c>
      <c r="D2" s="8" t="s">
        <v>375</v>
      </c>
      <c r="E2" s="8" t="s">
        <v>174</v>
      </c>
      <c r="F2" s="8" t="s">
        <v>175</v>
      </c>
      <c r="G2" s="8" t="s">
        <v>376</v>
      </c>
      <c r="H2" s="8" t="s">
        <v>377</v>
      </c>
      <c r="I2" s="8" t="s">
        <v>378</v>
      </c>
      <c r="J2" s="8" t="s">
        <v>379</v>
      </c>
      <c r="K2" s="8" t="s">
        <v>380</v>
      </c>
      <c r="L2" s="8" t="s">
        <v>381</v>
      </c>
      <c r="M2" s="8" t="s">
        <v>176</v>
      </c>
    </row>
    <row r="3" customFormat="false" ht="23.85" hidden="false" customHeight="false" outlineLevel="0" collapsed="false">
      <c r="A3" s="9" t="s">
        <v>382</v>
      </c>
      <c r="B3" s="9" t="s">
        <v>179</v>
      </c>
      <c r="C3" s="9" t="s">
        <v>177</v>
      </c>
      <c r="D3" s="9" t="s">
        <v>383</v>
      </c>
      <c r="E3" s="9" t="s">
        <v>180</v>
      </c>
      <c r="F3" s="9" t="s">
        <v>384</v>
      </c>
      <c r="G3" s="9" t="s">
        <v>385</v>
      </c>
      <c r="H3" s="9" t="s">
        <v>386</v>
      </c>
      <c r="I3" s="9" t="s">
        <v>387</v>
      </c>
      <c r="J3" s="9" t="s">
        <v>387</v>
      </c>
      <c r="K3" s="9" t="s">
        <v>387</v>
      </c>
      <c r="L3" s="9" t="s">
        <v>388</v>
      </c>
      <c r="M3" s="9" t="s">
        <v>182</v>
      </c>
    </row>
    <row r="4" customFormat="false" ht="23.85" hidden="false" customHeight="false" outlineLevel="0" collapsed="false">
      <c r="A4" s="10" t="s">
        <v>389</v>
      </c>
      <c r="B4" s="10" t="s">
        <v>185</v>
      </c>
      <c r="C4" s="10" t="s">
        <v>183</v>
      </c>
      <c r="D4" s="10" t="s">
        <v>390</v>
      </c>
      <c r="E4" s="10" t="s">
        <v>180</v>
      </c>
      <c r="F4" s="10" t="s">
        <v>384</v>
      </c>
      <c r="G4" s="10" t="s">
        <v>391</v>
      </c>
      <c r="H4" s="10" t="s">
        <v>386</v>
      </c>
      <c r="I4" s="10" t="s">
        <v>387</v>
      </c>
      <c r="J4" s="10" t="s">
        <v>387</v>
      </c>
      <c r="K4" s="10" t="s">
        <v>387</v>
      </c>
      <c r="L4" s="10" t="s">
        <v>388</v>
      </c>
      <c r="M4" s="10" t="s">
        <v>182</v>
      </c>
    </row>
    <row r="5" customFormat="false" ht="23.85" hidden="false" customHeight="false" outlineLevel="0" collapsed="false">
      <c r="A5" s="9" t="s">
        <v>392</v>
      </c>
      <c r="B5" s="9" t="s">
        <v>63</v>
      </c>
      <c r="C5" s="9" t="s">
        <v>187</v>
      </c>
      <c r="D5" s="9" t="s">
        <v>188</v>
      </c>
      <c r="E5" s="9" t="s">
        <v>180</v>
      </c>
      <c r="F5" s="9" t="s">
        <v>384</v>
      </c>
      <c r="G5" s="9" t="s">
        <v>393</v>
      </c>
      <c r="H5" s="9" t="s">
        <v>386</v>
      </c>
      <c r="I5" s="9" t="s">
        <v>387</v>
      </c>
      <c r="J5" s="9" t="s">
        <v>387</v>
      </c>
      <c r="K5" s="9" t="s">
        <v>387</v>
      </c>
      <c r="L5" s="9" t="s">
        <v>388</v>
      </c>
      <c r="M5" s="9" t="s">
        <v>182</v>
      </c>
    </row>
    <row r="6" customFormat="false" ht="23.85" hidden="false" customHeight="false" outlineLevel="0" collapsed="false">
      <c r="A6" s="10" t="s">
        <v>394</v>
      </c>
      <c r="B6" s="10" t="s">
        <v>40</v>
      </c>
      <c r="C6" s="10" t="s">
        <v>190</v>
      </c>
      <c r="D6" s="10" t="s">
        <v>395</v>
      </c>
      <c r="E6" s="10" t="s">
        <v>192</v>
      </c>
      <c r="F6" s="10" t="s">
        <v>384</v>
      </c>
      <c r="G6" s="10" t="s">
        <v>385</v>
      </c>
      <c r="H6" s="10" t="s">
        <v>386</v>
      </c>
      <c r="I6" s="10" t="s">
        <v>387</v>
      </c>
      <c r="J6" s="10" t="s">
        <v>387</v>
      </c>
      <c r="K6" s="10" t="s">
        <v>387</v>
      </c>
      <c r="L6" s="10" t="s">
        <v>388</v>
      </c>
      <c r="M6" s="10" t="s">
        <v>182</v>
      </c>
    </row>
    <row r="7" customFormat="false" ht="23.85" hidden="false" customHeight="false" outlineLevel="0" collapsed="false">
      <c r="A7" s="9" t="s">
        <v>396</v>
      </c>
      <c r="B7" s="9" t="s">
        <v>40</v>
      </c>
      <c r="C7" s="9" t="s">
        <v>194</v>
      </c>
      <c r="D7" s="9" t="s">
        <v>397</v>
      </c>
      <c r="E7" s="9" t="s">
        <v>180</v>
      </c>
      <c r="F7" s="9" t="s">
        <v>384</v>
      </c>
      <c r="G7" s="9" t="s">
        <v>393</v>
      </c>
      <c r="H7" s="9" t="s">
        <v>386</v>
      </c>
      <c r="I7" s="9" t="s">
        <v>387</v>
      </c>
      <c r="J7" s="9" t="s">
        <v>387</v>
      </c>
      <c r="K7" s="9" t="s">
        <v>387</v>
      </c>
      <c r="L7" s="9" t="s">
        <v>388</v>
      </c>
      <c r="M7" s="9" t="s">
        <v>182</v>
      </c>
    </row>
    <row r="8" customFormat="false" ht="23.85" hidden="false" customHeight="false" outlineLevel="0" collapsed="false">
      <c r="A8" s="10" t="s">
        <v>398</v>
      </c>
      <c r="B8" s="10" t="s">
        <v>199</v>
      </c>
      <c r="C8" s="10" t="s">
        <v>197</v>
      </c>
      <c r="D8" s="10" t="s">
        <v>399</v>
      </c>
      <c r="E8" s="10" t="s">
        <v>180</v>
      </c>
      <c r="F8" s="10" t="s">
        <v>384</v>
      </c>
      <c r="G8" s="10" t="s">
        <v>400</v>
      </c>
      <c r="H8" s="10" t="s">
        <v>386</v>
      </c>
      <c r="I8" s="10" t="s">
        <v>387</v>
      </c>
      <c r="J8" s="10" t="s">
        <v>387</v>
      </c>
      <c r="K8" s="10" t="s">
        <v>387</v>
      </c>
      <c r="L8" s="10" t="s">
        <v>388</v>
      </c>
      <c r="M8" s="10" t="s">
        <v>182</v>
      </c>
    </row>
    <row r="9" customFormat="false" ht="23.85" hidden="false" customHeight="false" outlineLevel="0" collapsed="false">
      <c r="A9" s="9" t="s">
        <v>401</v>
      </c>
      <c r="B9" s="9" t="s">
        <v>40</v>
      </c>
      <c r="C9" s="9" t="s">
        <v>201</v>
      </c>
      <c r="D9" s="9" t="s">
        <v>402</v>
      </c>
      <c r="E9" s="9" t="s">
        <v>180</v>
      </c>
      <c r="F9" s="9" t="s">
        <v>384</v>
      </c>
      <c r="G9" s="9" t="s">
        <v>393</v>
      </c>
      <c r="H9" s="9" t="s">
        <v>386</v>
      </c>
      <c r="I9" s="9" t="s">
        <v>387</v>
      </c>
      <c r="J9" s="9" t="s">
        <v>387</v>
      </c>
      <c r="K9" s="9" t="s">
        <v>387</v>
      </c>
      <c r="L9" s="9" t="s">
        <v>388</v>
      </c>
      <c r="M9" s="9" t="s">
        <v>182</v>
      </c>
    </row>
    <row r="10" customFormat="false" ht="23.85" hidden="false" customHeight="false" outlineLevel="0" collapsed="false">
      <c r="A10" s="10" t="s">
        <v>403</v>
      </c>
      <c r="B10" s="10" t="s">
        <v>205</v>
      </c>
      <c r="C10" s="10" t="s">
        <v>102</v>
      </c>
      <c r="D10" s="10" t="s">
        <v>204</v>
      </c>
      <c r="E10" s="10" t="s">
        <v>180</v>
      </c>
      <c r="F10" s="10" t="s">
        <v>384</v>
      </c>
      <c r="G10" s="10" t="s">
        <v>393</v>
      </c>
      <c r="H10" s="10" t="s">
        <v>386</v>
      </c>
      <c r="I10" s="10" t="s">
        <v>387</v>
      </c>
      <c r="J10" s="10" t="s">
        <v>387</v>
      </c>
      <c r="K10" s="10" t="s">
        <v>387</v>
      </c>
      <c r="L10" s="10" t="s">
        <v>388</v>
      </c>
      <c r="M10" s="10" t="s">
        <v>182</v>
      </c>
    </row>
    <row r="11" customFormat="false" ht="23.85" hidden="false" customHeight="false" outlineLevel="0" collapsed="false">
      <c r="A11" s="9" t="s">
        <v>404</v>
      </c>
      <c r="B11" s="9" t="s">
        <v>40</v>
      </c>
      <c r="C11" s="9" t="s">
        <v>207</v>
      </c>
      <c r="D11" s="9" t="s">
        <v>405</v>
      </c>
      <c r="E11" s="9" t="s">
        <v>180</v>
      </c>
      <c r="F11" s="9" t="s">
        <v>384</v>
      </c>
      <c r="G11" s="9" t="s">
        <v>393</v>
      </c>
      <c r="H11" s="9" t="s">
        <v>386</v>
      </c>
      <c r="I11" s="9" t="s">
        <v>387</v>
      </c>
      <c r="J11" s="9" t="s">
        <v>387</v>
      </c>
      <c r="K11" s="9" t="s">
        <v>387</v>
      </c>
      <c r="L11" s="9" t="s">
        <v>388</v>
      </c>
      <c r="M11" s="9" t="s">
        <v>182</v>
      </c>
    </row>
    <row r="12" customFormat="false" ht="23.85" hidden="false" customHeight="false" outlineLevel="0" collapsed="false">
      <c r="A12" s="10" t="s">
        <v>406</v>
      </c>
      <c r="B12" s="10" t="s">
        <v>40</v>
      </c>
      <c r="C12" s="10" t="s">
        <v>210</v>
      </c>
      <c r="D12" s="10" t="s">
        <v>407</v>
      </c>
      <c r="E12" s="10" t="s">
        <v>180</v>
      </c>
      <c r="F12" s="10" t="s">
        <v>384</v>
      </c>
      <c r="G12" s="10" t="s">
        <v>393</v>
      </c>
      <c r="H12" s="10" t="s">
        <v>386</v>
      </c>
      <c r="I12" s="10" t="s">
        <v>387</v>
      </c>
      <c r="J12" s="10" t="s">
        <v>387</v>
      </c>
      <c r="K12" s="10" t="s">
        <v>387</v>
      </c>
      <c r="L12" s="10" t="s">
        <v>388</v>
      </c>
      <c r="M12" s="10" t="s">
        <v>182</v>
      </c>
    </row>
    <row r="13" customFormat="false" ht="23.85" hidden="false" customHeight="false" outlineLevel="0" collapsed="false">
      <c r="A13" s="9" t="s">
        <v>408</v>
      </c>
      <c r="B13" s="9" t="s">
        <v>215</v>
      </c>
      <c r="C13" s="9" t="s">
        <v>213</v>
      </c>
      <c r="D13" s="9" t="s">
        <v>409</v>
      </c>
      <c r="E13" s="9" t="s">
        <v>180</v>
      </c>
      <c r="F13" s="9" t="s">
        <v>384</v>
      </c>
      <c r="G13" s="9" t="s">
        <v>391</v>
      </c>
      <c r="H13" s="9" t="s">
        <v>386</v>
      </c>
      <c r="I13" s="9" t="s">
        <v>387</v>
      </c>
      <c r="J13" s="9" t="s">
        <v>387</v>
      </c>
      <c r="K13" s="9" t="s">
        <v>387</v>
      </c>
      <c r="L13" s="9" t="s">
        <v>388</v>
      </c>
      <c r="M13" s="9" t="s">
        <v>182</v>
      </c>
    </row>
    <row r="14" customFormat="false" ht="15" hidden="false" customHeight="false" outlineLevel="0" collapsed="false">
      <c r="A14" s="10" t="s">
        <v>410</v>
      </c>
      <c r="B14" s="10" t="s">
        <v>219</v>
      </c>
      <c r="C14" s="10" t="s">
        <v>217</v>
      </c>
      <c r="D14" s="10" t="s">
        <v>218</v>
      </c>
      <c r="E14" s="10" t="s">
        <v>180</v>
      </c>
      <c r="F14" s="10" t="s">
        <v>384</v>
      </c>
      <c r="G14" s="10" t="s">
        <v>391</v>
      </c>
      <c r="H14" s="10" t="s">
        <v>386</v>
      </c>
      <c r="I14" s="10" t="s">
        <v>387</v>
      </c>
      <c r="J14" s="10" t="s">
        <v>387</v>
      </c>
      <c r="K14" s="10" t="s">
        <v>387</v>
      </c>
      <c r="L14" s="10" t="s">
        <v>388</v>
      </c>
      <c r="M14" s="10" t="s">
        <v>182</v>
      </c>
    </row>
    <row r="15" customFormat="false" ht="23.85" hidden="false" customHeight="false" outlineLevel="0" collapsed="false">
      <c r="A15" s="9" t="s">
        <v>411</v>
      </c>
      <c r="B15" s="9" t="s">
        <v>223</v>
      </c>
      <c r="C15" s="9" t="s">
        <v>221</v>
      </c>
      <c r="D15" s="9" t="s">
        <v>222</v>
      </c>
      <c r="E15" s="9" t="s">
        <v>180</v>
      </c>
      <c r="F15" s="9" t="s">
        <v>384</v>
      </c>
      <c r="G15" s="9" t="s">
        <v>412</v>
      </c>
      <c r="H15" s="9" t="s">
        <v>386</v>
      </c>
      <c r="I15" s="9" t="s">
        <v>387</v>
      </c>
      <c r="J15" s="9" t="s">
        <v>387</v>
      </c>
      <c r="K15" s="9" t="s">
        <v>387</v>
      </c>
      <c r="L15" s="9" t="s">
        <v>388</v>
      </c>
      <c r="M15" s="9" t="s">
        <v>182</v>
      </c>
    </row>
    <row r="16" customFormat="false" ht="23.85" hidden="false" customHeight="false" outlineLevel="0" collapsed="false">
      <c r="A16" s="10" t="s">
        <v>413</v>
      </c>
      <c r="B16" s="10" t="s">
        <v>223</v>
      </c>
      <c r="C16" s="10" t="s">
        <v>225</v>
      </c>
      <c r="D16" s="10" t="s">
        <v>414</v>
      </c>
      <c r="E16" s="10" t="s">
        <v>180</v>
      </c>
      <c r="F16" s="10" t="s">
        <v>384</v>
      </c>
      <c r="G16" s="10" t="s">
        <v>415</v>
      </c>
      <c r="H16" s="10" t="s">
        <v>386</v>
      </c>
      <c r="I16" s="10" t="s">
        <v>387</v>
      </c>
      <c r="J16" s="10" t="s">
        <v>387</v>
      </c>
      <c r="K16" s="10" t="s">
        <v>387</v>
      </c>
      <c r="L16" s="10" t="s">
        <v>388</v>
      </c>
      <c r="M16" s="10" t="s">
        <v>182</v>
      </c>
    </row>
    <row r="17" customFormat="false" ht="23.85" hidden="false" customHeight="false" outlineLevel="0" collapsed="false">
      <c r="A17" s="9" t="s">
        <v>416</v>
      </c>
      <c r="B17" s="9" t="s">
        <v>53</v>
      </c>
      <c r="C17" s="9" t="s">
        <v>111</v>
      </c>
      <c r="D17" s="9" t="s">
        <v>417</v>
      </c>
      <c r="E17" s="9" t="s">
        <v>180</v>
      </c>
      <c r="F17" s="9" t="s">
        <v>384</v>
      </c>
      <c r="G17" s="9" t="s">
        <v>393</v>
      </c>
      <c r="H17" s="9" t="s">
        <v>386</v>
      </c>
      <c r="I17" s="9" t="s">
        <v>387</v>
      </c>
      <c r="J17" s="9" t="s">
        <v>387</v>
      </c>
      <c r="K17" s="9" t="s">
        <v>387</v>
      </c>
      <c r="L17" s="9" t="s">
        <v>388</v>
      </c>
      <c r="M17" s="9" t="s">
        <v>182</v>
      </c>
    </row>
    <row r="18" customFormat="false" ht="23.85" hidden="false" customHeight="false" outlineLevel="0" collapsed="false">
      <c r="A18" s="10" t="s">
        <v>418</v>
      </c>
      <c r="B18" s="10" t="s">
        <v>232</v>
      </c>
      <c r="C18" s="10" t="s">
        <v>230</v>
      </c>
      <c r="D18" s="10" t="s">
        <v>419</v>
      </c>
      <c r="E18" s="10" t="s">
        <v>180</v>
      </c>
      <c r="F18" s="10" t="s">
        <v>384</v>
      </c>
      <c r="G18" s="10" t="s">
        <v>420</v>
      </c>
      <c r="H18" s="10" t="s">
        <v>386</v>
      </c>
      <c r="I18" s="10" t="s">
        <v>387</v>
      </c>
      <c r="J18" s="10" t="s">
        <v>387</v>
      </c>
      <c r="K18" s="10" t="s">
        <v>387</v>
      </c>
      <c r="L18" s="10" t="s">
        <v>388</v>
      </c>
      <c r="M18" s="10" t="s">
        <v>182</v>
      </c>
    </row>
    <row r="19" customFormat="false" ht="23.85" hidden="false" customHeight="false" outlineLevel="0" collapsed="false">
      <c r="A19" s="9" t="s">
        <v>421</v>
      </c>
      <c r="B19" s="9" t="s">
        <v>47</v>
      </c>
      <c r="C19" s="9" t="s">
        <v>117</v>
      </c>
      <c r="D19" s="9" t="s">
        <v>422</v>
      </c>
      <c r="E19" s="9" t="s">
        <v>180</v>
      </c>
      <c r="F19" s="9" t="s">
        <v>384</v>
      </c>
      <c r="G19" s="9" t="s">
        <v>385</v>
      </c>
      <c r="H19" s="9" t="s">
        <v>386</v>
      </c>
      <c r="I19" s="9" t="s">
        <v>387</v>
      </c>
      <c r="J19" s="9" t="s">
        <v>387</v>
      </c>
      <c r="K19" s="9" t="s">
        <v>387</v>
      </c>
      <c r="L19" s="9" t="s">
        <v>388</v>
      </c>
      <c r="M19" s="9" t="s">
        <v>182</v>
      </c>
    </row>
    <row r="20" customFormat="false" ht="15" hidden="false" customHeight="false" outlineLevel="0" collapsed="false">
      <c r="A20" s="10" t="s">
        <v>423</v>
      </c>
      <c r="B20" s="10" t="s">
        <v>232</v>
      </c>
      <c r="C20" s="10" t="s">
        <v>236</v>
      </c>
      <c r="D20" s="10" t="s">
        <v>237</v>
      </c>
      <c r="E20" s="10" t="s">
        <v>180</v>
      </c>
      <c r="F20" s="10" t="s">
        <v>384</v>
      </c>
      <c r="G20" s="10" t="s">
        <v>393</v>
      </c>
      <c r="H20" s="10" t="s">
        <v>386</v>
      </c>
      <c r="I20" s="10" t="s">
        <v>387</v>
      </c>
      <c r="J20" s="10" t="s">
        <v>387</v>
      </c>
      <c r="K20" s="10" t="s">
        <v>387</v>
      </c>
      <c r="L20" s="10" t="s">
        <v>388</v>
      </c>
      <c r="M20" s="10" t="s">
        <v>182</v>
      </c>
    </row>
    <row r="21" customFormat="false" ht="23.85" hidden="false" customHeight="false" outlineLevel="0" collapsed="false">
      <c r="A21" s="9" t="s">
        <v>424</v>
      </c>
      <c r="B21" s="9" t="s">
        <v>53</v>
      </c>
      <c r="C21" s="9" t="s">
        <v>239</v>
      </c>
      <c r="D21" s="9" t="s">
        <v>240</v>
      </c>
      <c r="E21" s="9" t="s">
        <v>192</v>
      </c>
      <c r="F21" s="9" t="s">
        <v>384</v>
      </c>
      <c r="G21" s="9" t="s">
        <v>393</v>
      </c>
      <c r="H21" s="9" t="s">
        <v>386</v>
      </c>
      <c r="I21" s="9" t="s">
        <v>387</v>
      </c>
      <c r="J21" s="9" t="s">
        <v>387</v>
      </c>
      <c r="K21" s="9" t="s">
        <v>387</v>
      </c>
      <c r="L21" s="9" t="s">
        <v>388</v>
      </c>
      <c r="M21" s="9" t="s">
        <v>182</v>
      </c>
    </row>
    <row r="22" customFormat="false" ht="23.85" hidden="false" customHeight="false" outlineLevel="0" collapsed="false">
      <c r="A22" s="10" t="s">
        <v>425</v>
      </c>
      <c r="B22" s="10" t="s">
        <v>244</v>
      </c>
      <c r="C22" s="10" t="s">
        <v>242</v>
      </c>
      <c r="D22" s="10" t="s">
        <v>243</v>
      </c>
      <c r="E22" s="10" t="s">
        <v>192</v>
      </c>
      <c r="F22" s="10" t="s">
        <v>384</v>
      </c>
      <c r="G22" s="10" t="s">
        <v>393</v>
      </c>
      <c r="H22" s="10" t="s">
        <v>386</v>
      </c>
      <c r="I22" s="10" t="s">
        <v>387</v>
      </c>
      <c r="J22" s="10" t="s">
        <v>387</v>
      </c>
      <c r="K22" s="10" t="s">
        <v>387</v>
      </c>
      <c r="L22" s="10" t="s">
        <v>388</v>
      </c>
      <c r="M22" s="10" t="s">
        <v>182</v>
      </c>
    </row>
    <row r="23" customFormat="false" ht="23.85" hidden="false" customHeight="false" outlineLevel="0" collapsed="false">
      <c r="A23" s="9" t="s">
        <v>426</v>
      </c>
      <c r="B23" s="9" t="s">
        <v>205</v>
      </c>
      <c r="C23" s="9" t="s">
        <v>120</v>
      </c>
      <c r="D23" s="9" t="s">
        <v>427</v>
      </c>
      <c r="E23" s="9" t="s">
        <v>180</v>
      </c>
      <c r="F23" s="9" t="s">
        <v>384</v>
      </c>
      <c r="G23" s="9" t="s">
        <v>393</v>
      </c>
      <c r="H23" s="9" t="s">
        <v>386</v>
      </c>
      <c r="I23" s="9" t="s">
        <v>387</v>
      </c>
      <c r="J23" s="9" t="s">
        <v>387</v>
      </c>
      <c r="K23" s="9" t="s">
        <v>387</v>
      </c>
      <c r="L23" s="9" t="s">
        <v>388</v>
      </c>
      <c r="M23" s="9" t="s">
        <v>182</v>
      </c>
    </row>
    <row r="24" customFormat="false" ht="23.85" hidden="false" customHeight="false" outlineLevel="0" collapsed="false">
      <c r="A24" s="10" t="s">
        <v>428</v>
      </c>
      <c r="B24" s="10" t="s">
        <v>58</v>
      </c>
      <c r="C24" s="10" t="s">
        <v>248</v>
      </c>
      <c r="D24" s="10" t="s">
        <v>249</v>
      </c>
      <c r="E24" s="10" t="s">
        <v>180</v>
      </c>
      <c r="F24" s="10" t="s">
        <v>384</v>
      </c>
      <c r="G24" s="10" t="s">
        <v>429</v>
      </c>
      <c r="H24" s="10" t="s">
        <v>386</v>
      </c>
      <c r="I24" s="10" t="s">
        <v>387</v>
      </c>
      <c r="J24" s="10" t="s">
        <v>387</v>
      </c>
      <c r="K24" s="10" t="s">
        <v>387</v>
      </c>
      <c r="L24" s="10" t="s">
        <v>388</v>
      </c>
      <c r="M24" s="10" t="s">
        <v>182</v>
      </c>
    </row>
    <row r="25" customFormat="false" ht="15" hidden="false" customHeight="false" outlineLevel="0" collapsed="false">
      <c r="A25" s="9" t="s">
        <v>430</v>
      </c>
      <c r="B25" s="9" t="s">
        <v>58</v>
      </c>
      <c r="C25" s="9" t="s">
        <v>251</v>
      </c>
      <c r="D25" s="9" t="s">
        <v>252</v>
      </c>
      <c r="E25" s="9" t="s">
        <v>192</v>
      </c>
      <c r="F25" s="9" t="s">
        <v>384</v>
      </c>
      <c r="G25" s="9" t="s">
        <v>415</v>
      </c>
      <c r="H25" s="9" t="s">
        <v>386</v>
      </c>
      <c r="I25" s="9" t="s">
        <v>387</v>
      </c>
      <c r="J25" s="9" t="s">
        <v>387</v>
      </c>
      <c r="K25" s="9" t="s">
        <v>387</v>
      </c>
      <c r="L25" s="9" t="s">
        <v>388</v>
      </c>
      <c r="M25" s="9" t="s">
        <v>182</v>
      </c>
    </row>
    <row r="26" customFormat="false" ht="15" hidden="false" customHeight="false" outlineLevel="0" collapsed="false">
      <c r="A26" s="10" t="s">
        <v>431</v>
      </c>
      <c r="B26" s="10" t="s">
        <v>232</v>
      </c>
      <c r="C26" s="10" t="s">
        <v>254</v>
      </c>
      <c r="D26" s="10" t="s">
        <v>255</v>
      </c>
      <c r="E26" s="10" t="s">
        <v>192</v>
      </c>
      <c r="F26" s="10" t="s">
        <v>384</v>
      </c>
      <c r="G26" s="10" t="s">
        <v>400</v>
      </c>
      <c r="H26" s="10" t="s">
        <v>386</v>
      </c>
      <c r="I26" s="10" t="s">
        <v>387</v>
      </c>
      <c r="J26" s="10" t="s">
        <v>387</v>
      </c>
      <c r="K26" s="10" t="s">
        <v>387</v>
      </c>
      <c r="L26" s="10" t="s">
        <v>388</v>
      </c>
      <c r="M26" s="10" t="s">
        <v>182</v>
      </c>
    </row>
    <row r="27" customFormat="false" ht="23.85" hidden="false" customHeight="false" outlineLevel="0" collapsed="false">
      <c r="A27" s="9" t="s">
        <v>432</v>
      </c>
      <c r="B27" s="9" t="s">
        <v>259</v>
      </c>
      <c r="C27" s="9" t="s">
        <v>257</v>
      </c>
      <c r="D27" s="9" t="s">
        <v>433</v>
      </c>
      <c r="E27" s="9" t="s">
        <v>180</v>
      </c>
      <c r="F27" s="9" t="s">
        <v>384</v>
      </c>
      <c r="G27" s="9" t="s">
        <v>393</v>
      </c>
      <c r="H27" s="9" t="s">
        <v>386</v>
      </c>
      <c r="I27" s="9" t="s">
        <v>387</v>
      </c>
      <c r="J27" s="9" t="s">
        <v>387</v>
      </c>
      <c r="K27" s="9" t="s">
        <v>387</v>
      </c>
      <c r="L27" s="9" t="s">
        <v>388</v>
      </c>
      <c r="M27" s="9" t="s">
        <v>182</v>
      </c>
    </row>
    <row r="28" customFormat="false" ht="15" hidden="false" customHeight="false" outlineLevel="0" collapsed="false">
      <c r="A28" s="10" t="s">
        <v>434</v>
      </c>
      <c r="B28" s="10" t="s">
        <v>259</v>
      </c>
      <c r="C28" s="10" t="s">
        <v>261</v>
      </c>
      <c r="D28" s="10" t="s">
        <v>262</v>
      </c>
      <c r="E28" s="10" t="s">
        <v>180</v>
      </c>
      <c r="F28" s="10" t="s">
        <v>384</v>
      </c>
      <c r="G28" s="10" t="s">
        <v>393</v>
      </c>
      <c r="H28" s="10" t="s">
        <v>386</v>
      </c>
      <c r="I28" s="10" t="s">
        <v>387</v>
      </c>
      <c r="J28" s="10" t="s">
        <v>387</v>
      </c>
      <c r="K28" s="10" t="s">
        <v>387</v>
      </c>
      <c r="L28" s="10" t="s">
        <v>388</v>
      </c>
      <c r="M28" s="10" t="s">
        <v>182</v>
      </c>
    </row>
    <row r="29" customFormat="false" ht="23.85" hidden="false" customHeight="false" outlineLevel="0" collapsed="false">
      <c r="A29" s="9" t="s">
        <v>435</v>
      </c>
      <c r="B29" s="9" t="s">
        <v>63</v>
      </c>
      <c r="C29" s="9" t="s">
        <v>264</v>
      </c>
      <c r="D29" s="9" t="s">
        <v>436</v>
      </c>
      <c r="E29" s="9" t="s">
        <v>192</v>
      </c>
      <c r="F29" s="9" t="s">
        <v>384</v>
      </c>
      <c r="G29" s="9" t="s">
        <v>393</v>
      </c>
      <c r="H29" s="9" t="s">
        <v>386</v>
      </c>
      <c r="I29" s="9" t="s">
        <v>387</v>
      </c>
      <c r="J29" s="9" t="s">
        <v>387</v>
      </c>
      <c r="K29" s="9" t="s">
        <v>387</v>
      </c>
      <c r="L29" s="9" t="s">
        <v>388</v>
      </c>
      <c r="M29" s="9" t="s">
        <v>182</v>
      </c>
    </row>
    <row r="30" customFormat="false" ht="23.85" hidden="false" customHeight="false" outlineLevel="0" collapsed="false">
      <c r="A30" s="10" t="s">
        <v>437</v>
      </c>
      <c r="B30" s="10" t="s">
        <v>63</v>
      </c>
      <c r="C30" s="10" t="s">
        <v>267</v>
      </c>
      <c r="D30" s="10" t="s">
        <v>438</v>
      </c>
      <c r="E30" s="10" t="s">
        <v>269</v>
      </c>
      <c r="F30" s="10" t="s">
        <v>384</v>
      </c>
      <c r="G30" s="10" t="s">
        <v>393</v>
      </c>
      <c r="H30" s="10" t="s">
        <v>386</v>
      </c>
      <c r="I30" s="10" t="s">
        <v>387</v>
      </c>
      <c r="J30" s="10" t="s">
        <v>387</v>
      </c>
      <c r="K30" s="10" t="s">
        <v>387</v>
      </c>
      <c r="L30" s="10" t="s">
        <v>388</v>
      </c>
      <c r="M30" s="10" t="s">
        <v>182</v>
      </c>
    </row>
    <row r="31" customFormat="false" ht="23.85" hidden="false" customHeight="false" outlineLevel="0" collapsed="false">
      <c r="A31" s="9" t="s">
        <v>439</v>
      </c>
      <c r="B31" s="9" t="s">
        <v>40</v>
      </c>
      <c r="C31" s="9" t="s">
        <v>271</v>
      </c>
      <c r="D31" s="9" t="s">
        <v>440</v>
      </c>
      <c r="E31" s="9" t="s">
        <v>180</v>
      </c>
      <c r="F31" s="9" t="s">
        <v>384</v>
      </c>
      <c r="G31" s="9" t="s">
        <v>393</v>
      </c>
      <c r="H31" s="9" t="s">
        <v>386</v>
      </c>
      <c r="I31" s="9" t="s">
        <v>387</v>
      </c>
      <c r="J31" s="9" t="s">
        <v>387</v>
      </c>
      <c r="K31" s="9" t="s">
        <v>387</v>
      </c>
      <c r="L31" s="9" t="s">
        <v>388</v>
      </c>
      <c r="M31" s="9" t="s">
        <v>182</v>
      </c>
    </row>
    <row r="32" customFormat="false" ht="23.85" hidden="false" customHeight="false" outlineLevel="0" collapsed="false">
      <c r="A32" s="10" t="s">
        <v>441</v>
      </c>
      <c r="B32" s="10" t="s">
        <v>47</v>
      </c>
      <c r="C32" s="10" t="s">
        <v>278</v>
      </c>
      <c r="D32" s="10" t="s">
        <v>280</v>
      </c>
      <c r="E32" s="10" t="s">
        <v>180</v>
      </c>
      <c r="F32" s="10" t="s">
        <v>281</v>
      </c>
      <c r="G32" s="10" t="s">
        <v>442</v>
      </c>
      <c r="H32" s="10" t="s">
        <v>386</v>
      </c>
      <c r="I32" s="10" t="s">
        <v>387</v>
      </c>
      <c r="J32" s="10" t="s">
        <v>387</v>
      </c>
      <c r="K32" s="10" t="s">
        <v>387</v>
      </c>
      <c r="L32" s="10" t="s">
        <v>388</v>
      </c>
      <c r="M32" s="10" t="s">
        <v>182</v>
      </c>
    </row>
    <row r="33" customFormat="false" ht="23.85" hidden="false" customHeight="false" outlineLevel="0" collapsed="false">
      <c r="A33" s="9" t="s">
        <v>443</v>
      </c>
      <c r="B33" s="9" t="s">
        <v>40</v>
      </c>
      <c r="C33" s="9" t="s">
        <v>283</v>
      </c>
      <c r="D33" s="9" t="s">
        <v>284</v>
      </c>
      <c r="E33" s="9" t="s">
        <v>180</v>
      </c>
      <c r="F33" s="9" t="s">
        <v>285</v>
      </c>
      <c r="G33" s="9" t="s">
        <v>393</v>
      </c>
      <c r="H33" s="9" t="s">
        <v>386</v>
      </c>
      <c r="I33" s="9" t="s">
        <v>387</v>
      </c>
      <c r="J33" s="9" t="s">
        <v>387</v>
      </c>
      <c r="K33" s="9" t="s">
        <v>387</v>
      </c>
      <c r="L33" s="9" t="s">
        <v>388</v>
      </c>
      <c r="M33" s="9" t="s">
        <v>182</v>
      </c>
    </row>
    <row r="34" customFormat="false" ht="35.05" hidden="false" customHeight="false" outlineLevel="0" collapsed="false">
      <c r="A34" s="10" t="s">
        <v>444</v>
      </c>
      <c r="B34" s="10" t="s">
        <v>68</v>
      </c>
      <c r="C34" s="10" t="s">
        <v>287</v>
      </c>
      <c r="D34" s="10" t="s">
        <v>289</v>
      </c>
      <c r="E34" s="10" t="s">
        <v>192</v>
      </c>
      <c r="F34" s="10" t="s">
        <v>290</v>
      </c>
      <c r="G34" s="10" t="s">
        <v>445</v>
      </c>
      <c r="H34" s="10" t="s">
        <v>386</v>
      </c>
      <c r="I34" s="10" t="s">
        <v>387</v>
      </c>
      <c r="J34" s="10" t="s">
        <v>387</v>
      </c>
      <c r="K34" s="10" t="s">
        <v>387</v>
      </c>
      <c r="L34" s="10" t="s">
        <v>388</v>
      </c>
      <c r="M34" s="10" t="s">
        <v>182</v>
      </c>
    </row>
    <row r="35" customFormat="false" ht="35.05" hidden="false" customHeight="false" outlineLevel="0" collapsed="false">
      <c r="A35" s="9" t="s">
        <v>446</v>
      </c>
      <c r="B35" s="9" t="s">
        <v>179</v>
      </c>
      <c r="C35" s="9" t="s">
        <v>292</v>
      </c>
      <c r="D35" s="9" t="s">
        <v>294</v>
      </c>
      <c r="E35" s="9" t="s">
        <v>180</v>
      </c>
      <c r="F35" s="9" t="s">
        <v>295</v>
      </c>
      <c r="G35" s="9" t="s">
        <v>385</v>
      </c>
      <c r="H35" s="9" t="s">
        <v>386</v>
      </c>
      <c r="I35" s="9" t="s">
        <v>387</v>
      </c>
      <c r="J35" s="9" t="s">
        <v>387</v>
      </c>
      <c r="K35" s="9" t="s">
        <v>387</v>
      </c>
      <c r="L35" s="9" t="s">
        <v>388</v>
      </c>
      <c r="M35" s="9" t="s">
        <v>182</v>
      </c>
    </row>
    <row r="36" customFormat="false" ht="23.85" hidden="false" customHeight="false" outlineLevel="0" collapsed="false">
      <c r="A36" s="10" t="s">
        <v>447</v>
      </c>
      <c r="B36" s="10" t="s">
        <v>68</v>
      </c>
      <c r="C36" s="10" t="s">
        <v>297</v>
      </c>
      <c r="D36" s="10" t="s">
        <v>298</v>
      </c>
      <c r="E36" s="10" t="s">
        <v>180</v>
      </c>
      <c r="F36" s="10" t="s">
        <v>299</v>
      </c>
      <c r="G36" s="10" t="s">
        <v>391</v>
      </c>
      <c r="H36" s="10" t="s">
        <v>386</v>
      </c>
      <c r="I36" s="10" t="s">
        <v>387</v>
      </c>
      <c r="J36" s="10" t="s">
        <v>387</v>
      </c>
      <c r="K36" s="10" t="s">
        <v>387</v>
      </c>
      <c r="L36" s="10" t="s">
        <v>388</v>
      </c>
      <c r="M36" s="10" t="s">
        <v>182</v>
      </c>
    </row>
    <row r="37" customFormat="false" ht="23.85" hidden="false" customHeight="false" outlineLevel="0" collapsed="false">
      <c r="A37" s="9" t="s">
        <v>448</v>
      </c>
      <c r="B37" s="9" t="s">
        <v>179</v>
      </c>
      <c r="C37" s="9" t="s">
        <v>301</v>
      </c>
      <c r="D37" s="9" t="s">
        <v>302</v>
      </c>
      <c r="E37" s="9" t="s">
        <v>180</v>
      </c>
      <c r="F37" s="9" t="s">
        <v>303</v>
      </c>
      <c r="G37" s="9" t="s">
        <v>393</v>
      </c>
      <c r="H37" s="9" t="s">
        <v>386</v>
      </c>
      <c r="I37" s="9" t="s">
        <v>387</v>
      </c>
      <c r="J37" s="9" t="s">
        <v>387</v>
      </c>
      <c r="K37" s="9" t="s">
        <v>387</v>
      </c>
      <c r="L37" s="9" t="s">
        <v>388</v>
      </c>
      <c r="M37" s="9" t="s">
        <v>182</v>
      </c>
    </row>
    <row r="38" customFormat="false" ht="23.85" hidden="false" customHeight="false" outlineLevel="0" collapsed="false">
      <c r="A38" s="10" t="s">
        <v>449</v>
      </c>
      <c r="B38" s="10" t="s">
        <v>68</v>
      </c>
      <c r="C38" s="10" t="s">
        <v>305</v>
      </c>
      <c r="D38" s="10" t="s">
        <v>306</v>
      </c>
      <c r="E38" s="10" t="s">
        <v>180</v>
      </c>
      <c r="F38" s="10" t="s">
        <v>307</v>
      </c>
      <c r="G38" s="10" t="s">
        <v>450</v>
      </c>
      <c r="H38" s="10" t="s">
        <v>386</v>
      </c>
      <c r="I38" s="10" t="s">
        <v>387</v>
      </c>
      <c r="J38" s="10" t="s">
        <v>387</v>
      </c>
      <c r="K38" s="10" t="s">
        <v>387</v>
      </c>
      <c r="L38" s="10" t="s">
        <v>388</v>
      </c>
      <c r="M38" s="10" t="s">
        <v>182</v>
      </c>
    </row>
    <row r="39" customFormat="false" ht="46.25" hidden="false" customHeight="false" outlineLevel="0" collapsed="false">
      <c r="A39" s="9" t="s">
        <v>451</v>
      </c>
      <c r="B39" s="9" t="s">
        <v>73</v>
      </c>
      <c r="C39" s="9" t="s">
        <v>309</v>
      </c>
      <c r="D39" s="9" t="s">
        <v>310</v>
      </c>
      <c r="E39" s="9" t="s">
        <v>180</v>
      </c>
      <c r="F39" s="9" t="s">
        <v>311</v>
      </c>
      <c r="G39" s="9" t="s">
        <v>452</v>
      </c>
      <c r="H39" s="9" t="s">
        <v>386</v>
      </c>
      <c r="I39" s="9" t="s">
        <v>387</v>
      </c>
      <c r="J39" s="9" t="s">
        <v>387</v>
      </c>
      <c r="K39" s="9" t="s">
        <v>387</v>
      </c>
      <c r="L39" s="9" t="s">
        <v>388</v>
      </c>
      <c r="M39" s="9" t="s">
        <v>182</v>
      </c>
    </row>
    <row r="40" customFormat="false" ht="23.85" hidden="false" customHeight="false" outlineLevel="0" collapsed="false">
      <c r="A40" s="10" t="s">
        <v>453</v>
      </c>
      <c r="B40" s="10" t="s">
        <v>40</v>
      </c>
      <c r="C40" s="10" t="s">
        <v>313</v>
      </c>
      <c r="D40" s="10" t="s">
        <v>315</v>
      </c>
      <c r="E40" s="10" t="s">
        <v>192</v>
      </c>
      <c r="F40" s="10" t="s">
        <v>316</v>
      </c>
      <c r="G40" s="10" t="s">
        <v>393</v>
      </c>
      <c r="H40" s="10" t="s">
        <v>386</v>
      </c>
      <c r="I40" s="10" t="s">
        <v>387</v>
      </c>
      <c r="J40" s="10" t="s">
        <v>387</v>
      </c>
      <c r="K40" s="10" t="s">
        <v>387</v>
      </c>
      <c r="L40" s="10" t="s">
        <v>388</v>
      </c>
      <c r="M40" s="10" t="s">
        <v>182</v>
      </c>
    </row>
    <row r="41" customFormat="false" ht="46.25" hidden="false" customHeight="false" outlineLevel="0" collapsed="false">
      <c r="A41" s="9" t="s">
        <v>454</v>
      </c>
      <c r="B41" s="9" t="s">
        <v>40</v>
      </c>
      <c r="C41" s="9" t="s">
        <v>318</v>
      </c>
      <c r="D41" s="9" t="s">
        <v>319</v>
      </c>
      <c r="E41" s="9" t="s">
        <v>192</v>
      </c>
      <c r="F41" s="9" t="s">
        <v>320</v>
      </c>
      <c r="G41" s="9" t="s">
        <v>393</v>
      </c>
      <c r="H41" s="9" t="s">
        <v>386</v>
      </c>
      <c r="I41" s="9" t="s">
        <v>387</v>
      </c>
      <c r="J41" s="9" t="s">
        <v>387</v>
      </c>
      <c r="K41" s="9" t="s">
        <v>387</v>
      </c>
      <c r="L41" s="9" t="s">
        <v>388</v>
      </c>
      <c r="M41" s="9" t="s">
        <v>182</v>
      </c>
    </row>
    <row r="42" customFormat="false" ht="23.85" hidden="false" customHeight="false" outlineLevel="0" collapsed="false">
      <c r="A42" s="10" t="s">
        <v>455</v>
      </c>
      <c r="B42" s="10" t="s">
        <v>58</v>
      </c>
      <c r="C42" s="10" t="s">
        <v>322</v>
      </c>
      <c r="D42" s="10" t="s">
        <v>324</v>
      </c>
      <c r="E42" s="10" t="s">
        <v>180</v>
      </c>
      <c r="F42" s="10" t="s">
        <v>325</v>
      </c>
      <c r="G42" s="10" t="s">
        <v>456</v>
      </c>
      <c r="H42" s="10" t="s">
        <v>386</v>
      </c>
      <c r="I42" s="10" t="s">
        <v>387</v>
      </c>
      <c r="J42" s="10" t="s">
        <v>387</v>
      </c>
      <c r="K42" s="10" t="s">
        <v>387</v>
      </c>
      <c r="L42" s="10" t="s">
        <v>388</v>
      </c>
      <c r="M42" s="10" t="s">
        <v>182</v>
      </c>
    </row>
    <row r="43" customFormat="false" ht="35.05" hidden="false" customHeight="false" outlineLevel="0" collapsed="false">
      <c r="A43" s="9" t="s">
        <v>457</v>
      </c>
      <c r="B43" s="9" t="s">
        <v>83</v>
      </c>
      <c r="C43" s="9" t="s">
        <v>327</v>
      </c>
      <c r="D43" s="9" t="s">
        <v>329</v>
      </c>
      <c r="E43" s="9" t="s">
        <v>180</v>
      </c>
      <c r="F43" s="9" t="s">
        <v>330</v>
      </c>
      <c r="G43" s="9" t="s">
        <v>458</v>
      </c>
      <c r="H43" s="9" t="s">
        <v>386</v>
      </c>
      <c r="I43" s="9" t="s">
        <v>387</v>
      </c>
      <c r="J43" s="9" t="s">
        <v>387</v>
      </c>
      <c r="K43" s="9" t="s">
        <v>387</v>
      </c>
      <c r="L43" s="9" t="s">
        <v>388</v>
      </c>
      <c r="M43" s="9" t="s">
        <v>182</v>
      </c>
    </row>
    <row r="44" customFormat="false" ht="35.05" hidden="false" customHeight="false" outlineLevel="0" collapsed="false">
      <c r="A44" s="10" t="s">
        <v>459</v>
      </c>
      <c r="B44" s="10" t="s">
        <v>68</v>
      </c>
      <c r="C44" s="10" t="s">
        <v>332</v>
      </c>
      <c r="D44" s="10" t="s">
        <v>334</v>
      </c>
      <c r="E44" s="10" t="s">
        <v>180</v>
      </c>
      <c r="F44" s="10" t="s">
        <v>335</v>
      </c>
      <c r="G44" s="10" t="s">
        <v>445</v>
      </c>
      <c r="H44" s="10" t="s">
        <v>386</v>
      </c>
      <c r="I44" s="10" t="s">
        <v>387</v>
      </c>
      <c r="J44" s="10" t="s">
        <v>387</v>
      </c>
      <c r="K44" s="10" t="s">
        <v>387</v>
      </c>
      <c r="L44" s="10" t="s">
        <v>388</v>
      </c>
      <c r="M44" s="10" t="s">
        <v>182</v>
      </c>
    </row>
  </sheetData>
  <autoFilter ref="A2:M44"/>
  <mergeCells count="1">
    <mergeCell ref="A1:M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3" min="2" style="0" width="60"/>
    <col collapsed="false" customWidth="true" hidden="false" outlineLevel="0" max="4" min="4" style="0" width="12"/>
    <col collapsed="false" customWidth="true" hidden="false" outlineLevel="0" max="7" min="5" style="0" width="11"/>
    <col collapsed="false" customWidth="true" hidden="false" outlineLevel="0" max="8" min="8" style="0" width="74"/>
    <col collapsed="false" customWidth="true" hidden="false" outlineLevel="0" max="9" min="9" style="0" width="62"/>
    <col collapsed="false" customWidth="true" hidden="false" outlineLevel="0" max="10" min="10" style="0" width="14"/>
    <col collapsed="false" customWidth="true" hidden="false" outlineLevel="0" max="11" min="11" style="0" width="10"/>
    <col collapsed="false" customWidth="true" hidden="false" outlineLevel="0" max="12" min="12" style="0" width="26"/>
  </cols>
  <sheetData>
    <row r="1" customFormat="false" ht="25.5" hidden="false" customHeight="true" outlineLevel="0" collapsed="false">
      <c r="A1" s="7" t="s">
        <v>460</v>
      </c>
      <c r="B1" s="7"/>
      <c r="C1" s="7"/>
      <c r="D1" s="7"/>
      <c r="E1" s="7"/>
      <c r="F1" s="7"/>
      <c r="G1" s="7"/>
      <c r="H1" s="7"/>
      <c r="I1" s="7"/>
      <c r="J1" s="7"/>
      <c r="K1" s="7"/>
      <c r="L1" s="7"/>
    </row>
    <row r="2" customFormat="false" ht="30" hidden="false" customHeight="true" outlineLevel="0" collapsed="false">
      <c r="A2" s="8" t="s">
        <v>461</v>
      </c>
      <c r="B2" s="8" t="s">
        <v>462</v>
      </c>
      <c r="C2" s="8" t="s">
        <v>463</v>
      </c>
      <c r="D2" s="8" t="s">
        <v>464</v>
      </c>
      <c r="E2" s="8" t="s">
        <v>465</v>
      </c>
      <c r="F2" s="8" t="s">
        <v>466</v>
      </c>
      <c r="G2" s="8" t="s">
        <v>174</v>
      </c>
      <c r="H2" s="8" t="s">
        <v>467</v>
      </c>
      <c r="I2" s="8" t="s">
        <v>468</v>
      </c>
      <c r="J2" s="8" t="s">
        <v>5</v>
      </c>
      <c r="K2" s="8" t="s">
        <v>176</v>
      </c>
      <c r="L2" s="8" t="s">
        <v>469</v>
      </c>
    </row>
    <row r="3" customFormat="false" ht="46.25" hidden="false" customHeight="false" outlineLevel="0" collapsed="false">
      <c r="A3" s="9" t="s">
        <v>470</v>
      </c>
      <c r="B3" s="9" t="s">
        <v>471</v>
      </c>
      <c r="C3" s="9" t="s">
        <v>472</v>
      </c>
      <c r="D3" s="9" t="n">
        <v>4</v>
      </c>
      <c r="E3" s="9" t="n">
        <v>5</v>
      </c>
      <c r="F3" s="11" t="n">
        <f aca="false">D3*E3</f>
        <v>20</v>
      </c>
      <c r="G3" s="11" t="str">
        <f aca="false">IF(F3&gt;=20,"Critical",IF(F3&gt;=12,"High",IF(F3&gt;=6,"Medium","Low")))</f>
        <v>Critical</v>
      </c>
      <c r="H3" s="9" t="s">
        <v>473</v>
      </c>
      <c r="I3" s="9" t="s">
        <v>474</v>
      </c>
      <c r="J3" s="9" t="s">
        <v>998</v>
      </c>
      <c r="K3" s="9" t="s">
        <v>476</v>
      </c>
      <c r="L3" s="9" t="s">
        <v>477</v>
      </c>
    </row>
    <row r="4" customFormat="false" ht="35.05" hidden="false" customHeight="false" outlineLevel="0" collapsed="false">
      <c r="A4" s="10" t="s">
        <v>478</v>
      </c>
      <c r="B4" s="10" t="s">
        <v>479</v>
      </c>
      <c r="C4" s="10" t="s">
        <v>480</v>
      </c>
      <c r="D4" s="10" t="n">
        <v>3</v>
      </c>
      <c r="E4" s="10" t="n">
        <v>4</v>
      </c>
      <c r="F4" s="13" t="n">
        <f aca="false">D4*E4</f>
        <v>12</v>
      </c>
      <c r="G4" s="13" t="str">
        <f aca="false">IF(F4&gt;=20,"Critical",IF(F4&gt;=12,"High",IF(F4&gt;=6,"Medium","Low")))</f>
        <v>High</v>
      </c>
      <c r="H4" s="10" t="s">
        <v>481</v>
      </c>
      <c r="I4" s="10" t="s">
        <v>482</v>
      </c>
      <c r="J4" s="10" t="s">
        <v>999</v>
      </c>
      <c r="K4" s="10" t="s">
        <v>476</v>
      </c>
      <c r="L4" s="10" t="s">
        <v>484</v>
      </c>
    </row>
    <row r="5" customFormat="false" ht="46.25" hidden="false" customHeight="false" outlineLevel="0" collapsed="false">
      <c r="A5" s="9" t="s">
        <v>458</v>
      </c>
      <c r="B5" s="9" t="s">
        <v>485</v>
      </c>
      <c r="C5" s="9" t="s">
        <v>486</v>
      </c>
      <c r="D5" s="9" t="n">
        <v>5</v>
      </c>
      <c r="E5" s="9" t="n">
        <v>4</v>
      </c>
      <c r="F5" s="11" t="n">
        <f aca="false">D5*E5</f>
        <v>20</v>
      </c>
      <c r="G5" s="11" t="str">
        <f aca="false">IF(F5&gt;=20,"Critical",IF(F5&gt;=12,"High",IF(F5&gt;=6,"Medium","Low")))</f>
        <v>Critical</v>
      </c>
      <c r="H5" s="9" t="s">
        <v>487</v>
      </c>
      <c r="I5" s="9" t="s">
        <v>488</v>
      </c>
      <c r="J5" s="9" t="s">
        <v>1000</v>
      </c>
      <c r="K5" s="9" t="s">
        <v>476</v>
      </c>
      <c r="L5" s="9" t="s">
        <v>490</v>
      </c>
    </row>
    <row r="6" customFormat="false" ht="46.25" hidden="false" customHeight="false" outlineLevel="0" collapsed="false">
      <c r="A6" s="10" t="s">
        <v>491</v>
      </c>
      <c r="B6" s="10" t="s">
        <v>492</v>
      </c>
      <c r="C6" s="10" t="s">
        <v>493</v>
      </c>
      <c r="D6" s="10" t="n">
        <v>4</v>
      </c>
      <c r="E6" s="10" t="n">
        <v>3</v>
      </c>
      <c r="F6" s="13" t="n">
        <f aca="false">D6*E6</f>
        <v>12</v>
      </c>
      <c r="G6" s="13" t="str">
        <f aca="false">IF(F6&gt;=20,"Critical",IF(F6&gt;=12,"High",IF(F6&gt;=6,"Medium","Low")))</f>
        <v>High</v>
      </c>
      <c r="H6" s="10" t="s">
        <v>494</v>
      </c>
      <c r="I6" s="10" t="s">
        <v>495</v>
      </c>
      <c r="J6" s="10" t="s">
        <v>1001</v>
      </c>
      <c r="K6" s="10" t="s">
        <v>1013</v>
      </c>
      <c r="L6" s="10" t="s">
        <v>1014</v>
      </c>
    </row>
    <row r="7" customFormat="false" ht="46.25" hidden="false" customHeight="false" outlineLevel="0" collapsed="false">
      <c r="A7" s="9" t="s">
        <v>385</v>
      </c>
      <c r="B7" s="9" t="s">
        <v>497</v>
      </c>
      <c r="C7" s="9" t="s">
        <v>498</v>
      </c>
      <c r="D7" s="9" t="n">
        <v>3</v>
      </c>
      <c r="E7" s="9" t="n">
        <v>5</v>
      </c>
      <c r="F7" s="11" t="n">
        <f aca="false">D7*E7</f>
        <v>15</v>
      </c>
      <c r="G7" s="11" t="str">
        <f aca="false">IF(F7&gt;=20,"Critical",IF(F7&gt;=12,"High",IF(F7&gt;=6,"Medium","Low")))</f>
        <v>High</v>
      </c>
      <c r="H7" s="9" t="s">
        <v>499</v>
      </c>
      <c r="I7" s="9" t="s">
        <v>500</v>
      </c>
      <c r="J7" s="9" t="s">
        <v>1002</v>
      </c>
      <c r="K7" s="9" t="s">
        <v>476</v>
      </c>
      <c r="L7" s="9" t="s">
        <v>501</v>
      </c>
    </row>
    <row r="8" customFormat="false" ht="35.05" hidden="false" customHeight="false" outlineLevel="0" collapsed="false">
      <c r="A8" s="10" t="s">
        <v>502</v>
      </c>
      <c r="B8" s="10" t="s">
        <v>503</v>
      </c>
      <c r="C8" s="10" t="s">
        <v>504</v>
      </c>
      <c r="D8" s="10" t="n">
        <v>3</v>
      </c>
      <c r="E8" s="10" t="n">
        <v>4</v>
      </c>
      <c r="F8" s="13" t="n">
        <f aca="false">D8*E8</f>
        <v>12</v>
      </c>
      <c r="G8" s="13" t="str">
        <f aca="false">IF(F8&gt;=20,"Critical",IF(F8&gt;=12,"High",IF(F8&gt;=6,"Medium","Low")))</f>
        <v>High</v>
      </c>
      <c r="H8" s="10" t="s">
        <v>505</v>
      </c>
      <c r="I8" s="10" t="s">
        <v>506</v>
      </c>
      <c r="J8" s="10" t="s">
        <v>1003</v>
      </c>
      <c r="K8" s="10" t="s">
        <v>476</v>
      </c>
      <c r="L8" s="10" t="s">
        <v>507</v>
      </c>
    </row>
    <row r="9" customFormat="false" ht="35.05" hidden="false" customHeight="false" outlineLevel="0" collapsed="false">
      <c r="A9" s="9" t="s">
        <v>508</v>
      </c>
      <c r="B9" s="9" t="s">
        <v>509</v>
      </c>
      <c r="C9" s="9" t="s">
        <v>510</v>
      </c>
      <c r="D9" s="9" t="n">
        <v>3</v>
      </c>
      <c r="E9" s="9" t="n">
        <v>4</v>
      </c>
      <c r="F9" s="11" t="n">
        <f aca="false">D9*E9</f>
        <v>8</v>
      </c>
      <c r="G9" s="11" t="str">
        <f aca="false">IF(F9&gt;=20,"Critical",IF(F9&gt;=12,"High",IF(F9&gt;=6,"Medium","Low")))</f>
        <v>Medium</v>
      </c>
      <c r="H9" s="9" t="s">
        <v>511</v>
      </c>
      <c r="I9" s="9" t="s">
        <v>512</v>
      </c>
      <c r="J9" s="9" t="s">
        <v>1004</v>
      </c>
      <c r="K9" s="9" t="s">
        <v>1015</v>
      </c>
      <c r="L9" s="9" t="s">
        <v>1016</v>
      </c>
    </row>
    <row r="10" customFormat="false" ht="35.05" hidden="false" customHeight="false" outlineLevel="0" collapsed="false">
      <c r="A10" s="10" t="s">
        <v>514</v>
      </c>
      <c r="B10" s="10" t="s">
        <v>515</v>
      </c>
      <c r="C10" s="10" t="s">
        <v>516</v>
      </c>
      <c r="D10" s="10" t="n">
        <v>3</v>
      </c>
      <c r="E10" s="10" t="n">
        <v>5</v>
      </c>
      <c r="F10" s="13" t="n">
        <f aca="false">D10*E10</f>
        <v>15</v>
      </c>
      <c r="G10" s="13" t="str">
        <f aca="false">IF(F10&gt;=20,"Critical",IF(F10&gt;=12,"High",IF(F10&gt;=6,"Medium","Low")))</f>
        <v>High</v>
      </c>
      <c r="H10" s="10" t="s">
        <v>517</v>
      </c>
      <c r="I10" s="10" t="s">
        <v>518</v>
      </c>
      <c r="J10" s="10" t="s">
        <v>1005</v>
      </c>
      <c r="K10" s="10" t="s">
        <v>476</v>
      </c>
      <c r="L10" s="10" t="s">
        <v>519</v>
      </c>
    </row>
    <row r="11" customFormat="false" ht="35.05" hidden="false" customHeight="false" outlineLevel="0" collapsed="false">
      <c r="A11" s="9" t="s">
        <v>456</v>
      </c>
      <c r="B11" s="9" t="s">
        <v>520</v>
      </c>
      <c r="C11" s="9" t="s">
        <v>521</v>
      </c>
      <c r="D11" s="9" t="n">
        <v>2</v>
      </c>
      <c r="E11" s="9" t="n">
        <v>4</v>
      </c>
      <c r="F11" s="11" t="n">
        <f aca="false">D11*E11</f>
        <v>8</v>
      </c>
      <c r="G11" s="11" t="str">
        <f aca="false">IF(F11&gt;=20,"Critical",IF(F11&gt;=12,"High",IF(F11&gt;=6,"Medium","Low")))</f>
        <v>Medium</v>
      </c>
      <c r="H11" s="9" t="s">
        <v>522</v>
      </c>
      <c r="I11" s="9" t="s">
        <v>523</v>
      </c>
      <c r="J11" s="9" t="s">
        <v>1006</v>
      </c>
      <c r="K11" s="9" t="s">
        <v>476</v>
      </c>
      <c r="L11" s="9" t="s">
        <v>524</v>
      </c>
    </row>
    <row r="12" customFormat="false" ht="23.85" hidden="false" customHeight="false" outlineLevel="0" collapsed="false">
      <c r="A12" s="10" t="s">
        <v>525</v>
      </c>
      <c r="B12" s="10" t="s">
        <v>526</v>
      </c>
      <c r="C12" s="10" t="s">
        <v>527</v>
      </c>
      <c r="D12" s="10" t="n">
        <v>2</v>
      </c>
      <c r="E12" s="10" t="n">
        <v>4</v>
      </c>
      <c r="F12" s="13" t="n">
        <f aca="false">D12*E12</f>
        <v>8</v>
      </c>
      <c r="G12" s="13" t="str">
        <f aca="false">IF(F12&gt;=20,"Critical",IF(F12&gt;=12,"High",IF(F12&gt;=6,"Medium","Low")))</f>
        <v>Medium</v>
      </c>
      <c r="H12" s="10" t="s">
        <v>528</v>
      </c>
      <c r="I12" s="10" t="s">
        <v>529</v>
      </c>
      <c r="J12" s="10" t="s">
        <v>1007</v>
      </c>
      <c r="K12" s="10" t="s">
        <v>476</v>
      </c>
      <c r="L12" s="10" t="s">
        <v>530</v>
      </c>
    </row>
    <row r="13" customFormat="false" ht="35.05" hidden="false" customHeight="false" outlineLevel="0" collapsed="false">
      <c r="A13" s="9" t="s">
        <v>450</v>
      </c>
      <c r="B13" s="9" t="s">
        <v>531</v>
      </c>
      <c r="C13" s="9" t="s">
        <v>532</v>
      </c>
      <c r="D13" s="9" t="n">
        <v>3</v>
      </c>
      <c r="E13" s="9" t="n">
        <v>5</v>
      </c>
      <c r="F13" s="11" t="n">
        <f aca="false">D13*E13</f>
        <v>15</v>
      </c>
      <c r="G13" s="11" t="str">
        <f aca="false">IF(F13&gt;=20,"Critical",IF(F13&gt;=12,"High",IF(F13&gt;=6,"Medium","Low")))</f>
        <v>High</v>
      </c>
      <c r="H13" s="9" t="s">
        <v>533</v>
      </c>
      <c r="I13" s="9" t="s">
        <v>534</v>
      </c>
      <c r="J13" s="9" t="s">
        <v>1008</v>
      </c>
      <c r="K13" s="9" t="s">
        <v>476</v>
      </c>
      <c r="L13" s="9" t="s">
        <v>535</v>
      </c>
    </row>
    <row r="14" customFormat="false" ht="46.25" hidden="false" customHeight="false" outlineLevel="0" collapsed="false">
      <c r="A14" s="10" t="s">
        <v>536</v>
      </c>
      <c r="B14" s="10" t="s">
        <v>537</v>
      </c>
      <c r="C14" s="10" t="s">
        <v>538</v>
      </c>
      <c r="D14" s="10" t="n">
        <v>2</v>
      </c>
      <c r="E14" s="10" t="n">
        <v>4</v>
      </c>
      <c r="F14" s="13" t="n">
        <f aca="false">D14*E14</f>
        <v>8</v>
      </c>
      <c r="G14" s="13" t="str">
        <f aca="false">IF(F14&gt;=20,"Critical",IF(F14&gt;=12,"High",IF(F14&gt;=6,"Medium","Low")))</f>
        <v>Medium</v>
      </c>
      <c r="H14" s="10" t="s">
        <v>539</v>
      </c>
      <c r="I14" s="10" t="s">
        <v>540</v>
      </c>
      <c r="J14" s="10" t="s">
        <v>1009</v>
      </c>
      <c r="K14" s="10" t="s">
        <v>476</v>
      </c>
      <c r="L14" s="10" t="s">
        <v>541</v>
      </c>
    </row>
    <row r="15" customFormat="false" ht="35.05" hidden="false" customHeight="false" outlineLevel="0" collapsed="false">
      <c r="A15" s="9" t="s">
        <v>542</v>
      </c>
      <c r="B15" s="9" t="s">
        <v>543</v>
      </c>
      <c r="C15" s="9" t="s">
        <v>544</v>
      </c>
      <c r="D15" s="9" t="n">
        <v>4</v>
      </c>
      <c r="E15" s="9" t="n">
        <v>3</v>
      </c>
      <c r="F15" s="11" t="n">
        <f aca="false">D15*E15</f>
        <v>12</v>
      </c>
      <c r="G15" s="11" t="str">
        <f aca="false">IF(F15&gt;=20,"Critical",IF(F15&gt;=12,"High",IF(F15&gt;=6,"Medium","Low")))</f>
        <v>High</v>
      </c>
      <c r="H15" s="9" t="s">
        <v>545</v>
      </c>
      <c r="I15" s="9" t="s">
        <v>546</v>
      </c>
      <c r="J15" s="9" t="s">
        <v>1010</v>
      </c>
      <c r="K15" s="9" t="s">
        <v>476</v>
      </c>
      <c r="L15" s="9" t="s">
        <v>547</v>
      </c>
    </row>
    <row r="16" customFormat="false" ht="46.25" hidden="false" customHeight="false" outlineLevel="0" collapsed="false">
      <c r="A16" s="10" t="s">
        <v>548</v>
      </c>
      <c r="B16" s="10" t="s">
        <v>549</v>
      </c>
      <c r="C16" s="10" t="s">
        <v>550</v>
      </c>
      <c r="D16" s="10" t="n">
        <v>3</v>
      </c>
      <c r="E16" s="10" t="n">
        <v>4</v>
      </c>
      <c r="F16" s="13" t="n">
        <f aca="false">D16*E16</f>
        <v>12</v>
      </c>
      <c r="G16" s="13" t="str">
        <f aca="false">IF(F16&gt;=20,"Critical",IF(F16&gt;=12,"High",IF(F16&gt;=6,"Medium","Low")))</f>
        <v>High</v>
      </c>
      <c r="H16" s="10" t="s">
        <v>551</v>
      </c>
      <c r="I16" s="10" t="s">
        <v>552</v>
      </c>
      <c r="J16" s="10" t="s">
        <v>1011</v>
      </c>
      <c r="K16" s="10" t="s">
        <v>476</v>
      </c>
      <c r="L16" s="10" t="s">
        <v>553</v>
      </c>
    </row>
    <row r="17" customFormat="false" ht="46.25" hidden="false" customHeight="false" outlineLevel="0" collapsed="false">
      <c r="A17" s="9" t="s">
        <v>1017</v>
      </c>
      <c r="B17" s="9" t="s">
        <v>1018</v>
      </c>
      <c r="C17" s="9" t="s">
        <v>1019</v>
      </c>
      <c r="D17" s="9">
        <v>3</v>
      </c>
      <c r="E17" s="9">
        <v>3</v>
      </c>
      <c r="F17" s="9">
        <f>D17*E17</f>
      </c>
      <c r="G17" s="9">
        <f>IF(F17&gt;=20,"Critical",IF(F17&gt;=12,"High",IF(F17&gt;=6,"Medium","Low")))</f>
      </c>
      <c r="H17" s="9" t="s">
        <v>1020</v>
      </c>
      <c r="I17" s="9" t="s">
        <v>1021</v>
      </c>
      <c r="J17" s="9" t="s">
        <v>1022</v>
      </c>
      <c r="K17" s="9" t="s">
        <v>1023</v>
      </c>
      <c r="L17" s="9" t="s">
        <v>1024</v>
      </c>
    </row>
  </sheetData>
  <autoFilter ref="A2:L16"/>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72"/>
    <col collapsed="false" customWidth="true" hidden="false" outlineLevel="0" max="4" min="4" style="0" width="52"/>
    <col collapsed="false" customWidth="true" hidden="false" outlineLevel="0" max="5" min="5" style="0" width="50"/>
    <col collapsed="false" customWidth="true" hidden="false" outlineLevel="0" max="6" min="6" style="0" width="66"/>
    <col collapsed="false" customWidth="true" hidden="false" outlineLevel="0" max="7" min="7" style="0" width="34"/>
  </cols>
  <sheetData>
    <row r="1" customFormat="false" ht="25.5" hidden="false" customHeight="true" outlineLevel="0" collapsed="false">
      <c r="A1" s="7" t="s">
        <v>554</v>
      </c>
      <c r="B1" s="7"/>
      <c r="C1" s="7"/>
      <c r="D1" s="7"/>
      <c r="E1" s="7"/>
      <c r="F1" s="7"/>
      <c r="G1" s="7"/>
    </row>
    <row r="2" customFormat="false" ht="30" hidden="false" customHeight="true" outlineLevel="0" collapsed="false">
      <c r="A2" s="8" t="s">
        <v>33</v>
      </c>
      <c r="B2" s="8" t="s">
        <v>555</v>
      </c>
      <c r="C2" s="8" t="s">
        <v>556</v>
      </c>
      <c r="D2" s="8" t="s">
        <v>557</v>
      </c>
      <c r="E2" s="8" t="s">
        <v>558</v>
      </c>
      <c r="F2" s="8" t="s">
        <v>559</v>
      </c>
      <c r="G2" s="8" t="s">
        <v>469</v>
      </c>
    </row>
    <row r="3" customFormat="false" ht="35.05" hidden="false" customHeight="false" outlineLevel="0" collapsed="false">
      <c r="A3" s="9" t="s">
        <v>412</v>
      </c>
      <c r="B3" s="9" t="s">
        <v>560</v>
      </c>
      <c r="C3" s="9" t="s">
        <v>561</v>
      </c>
      <c r="D3" s="9" t="s">
        <v>562</v>
      </c>
      <c r="E3" s="9" t="s">
        <v>563</v>
      </c>
      <c r="F3" s="9" t="s">
        <v>564</v>
      </c>
      <c r="G3" s="9" t="s">
        <v>973</v>
      </c>
    </row>
    <row r="4" customFormat="false" ht="35.05" hidden="false" customHeight="false" outlineLevel="0" collapsed="false">
      <c r="A4" s="10" t="s">
        <v>400</v>
      </c>
      <c r="B4" s="10" t="s">
        <v>566</v>
      </c>
      <c r="C4" s="10" t="s">
        <v>567</v>
      </c>
      <c r="D4" s="10" t="s">
        <v>568</v>
      </c>
      <c r="E4" s="10" t="s">
        <v>569</v>
      </c>
      <c r="F4" s="10" t="s">
        <v>570</v>
      </c>
      <c r="G4" s="10" t="s">
        <v>571</v>
      </c>
    </row>
    <row r="5" customFormat="false" ht="35.05" hidden="false" customHeight="false" outlineLevel="0" collapsed="false">
      <c r="A5" s="9" t="s">
        <v>572</v>
      </c>
      <c r="B5" s="9" t="s">
        <v>573</v>
      </c>
      <c r="C5" s="9" t="s">
        <v>574</v>
      </c>
      <c r="D5" s="9" t="s">
        <v>575</v>
      </c>
      <c r="E5" s="9" t="s">
        <v>576</v>
      </c>
      <c r="F5" s="9" t="s">
        <v>577</v>
      </c>
      <c r="G5" s="9" t="s">
        <v>974</v>
      </c>
    </row>
    <row r="6" customFormat="false" ht="35.05" hidden="false" customHeight="false" outlineLevel="0" collapsed="false">
      <c r="A6" s="10" t="s">
        <v>579</v>
      </c>
      <c r="B6" s="10" t="s">
        <v>580</v>
      </c>
      <c r="C6" s="10" t="s">
        <v>581</v>
      </c>
      <c r="D6" s="10" t="s">
        <v>582</v>
      </c>
      <c r="E6" s="10" t="s">
        <v>583</v>
      </c>
      <c r="F6" s="10" t="s">
        <v>584</v>
      </c>
      <c r="G6" s="10" t="s">
        <v>585</v>
      </c>
    </row>
    <row r="7" customFormat="false" ht="35.05" hidden="false" customHeight="false" outlineLevel="0" collapsed="false">
      <c r="A7" s="9" t="s">
        <v>586</v>
      </c>
      <c r="B7" s="9" t="s">
        <v>587</v>
      </c>
      <c r="C7" s="9" t="s">
        <v>588</v>
      </c>
      <c r="D7" s="9" t="s">
        <v>589</v>
      </c>
      <c r="E7" s="9" t="s">
        <v>590</v>
      </c>
      <c r="F7" s="9" t="s">
        <v>591</v>
      </c>
      <c r="G7" s="9" t="s">
        <v>592</v>
      </c>
    </row>
    <row r="8" customFormat="false" ht="35.05" hidden="false" customHeight="false" outlineLevel="0" collapsed="false">
      <c r="A8" s="10" t="s">
        <v>415</v>
      </c>
      <c r="B8" s="10" t="s">
        <v>593</v>
      </c>
      <c r="C8" s="10" t="s">
        <v>594</v>
      </c>
      <c r="D8" s="10" t="s">
        <v>595</v>
      </c>
      <c r="E8" s="10" t="s">
        <v>596</v>
      </c>
      <c r="F8" s="10" t="s">
        <v>597</v>
      </c>
      <c r="G8" s="10" t="s">
        <v>975</v>
      </c>
    </row>
    <row r="9" customFormat="false" ht="46.25" hidden="false" customHeight="false" outlineLevel="0" collapsed="false">
      <c r="A9" s="9" t="s">
        <v>599</v>
      </c>
      <c r="B9" s="9" t="s">
        <v>600</v>
      </c>
      <c r="C9" s="9" t="s">
        <v>601</v>
      </c>
      <c r="D9" s="9" t="s">
        <v>602</v>
      </c>
      <c r="E9" s="9" t="s">
        <v>603</v>
      </c>
      <c r="F9" s="9" t="s">
        <v>604</v>
      </c>
      <c r="G9" s="9" t="s">
        <v>605</v>
      </c>
    </row>
  </sheetData>
  <autoFilter ref="A2:G9"/>
  <mergeCells count="1">
    <mergeCell ref="A1:G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54"/>
    <col collapsed="false" customWidth="true" hidden="false" outlineLevel="0" max="5" min="5" style="0" width="34"/>
    <col collapsed="false" customWidth="true" hidden="false" outlineLevel="0" max="6" min="6" style="0" width="54"/>
    <col collapsed="false" customWidth="true" hidden="false" outlineLevel="0" max="7" min="7" style="0" width="40"/>
    <col collapsed="false" customWidth="true" hidden="false" outlineLevel="0" max="8" min="8" style="0" width="66"/>
    <col collapsed="false" customWidth="true" hidden="false" outlineLevel="0" max="9" min="9" style="0" width="54"/>
    <col collapsed="false" customWidth="true" hidden="false" outlineLevel="0" max="10" min="10" style="0" width="46"/>
    <col collapsed="false" customWidth="true" hidden="false" outlineLevel="0" max="11" min="11" style="0" width="60"/>
    <col collapsed="false" customWidth="true" hidden="false" outlineLevel="0" max="12" min="12" style="0" width="52"/>
  </cols>
  <sheetData>
    <row r="1" customFormat="false" ht="25.5" hidden="false" customHeight="true" outlineLevel="0" collapsed="false">
      <c r="A1" s="7" t="s">
        <v>606</v>
      </c>
      <c r="B1" s="7"/>
      <c r="C1" s="7"/>
      <c r="D1" s="7"/>
      <c r="E1" s="7"/>
      <c r="F1" s="7"/>
      <c r="G1" s="7"/>
      <c r="H1" s="7"/>
      <c r="I1" s="7"/>
      <c r="J1" s="7"/>
      <c r="K1" s="7"/>
      <c r="L1" s="7"/>
    </row>
    <row r="2" customFormat="false" ht="30" hidden="false" customHeight="true" outlineLevel="0" collapsed="false">
      <c r="A2" s="8" t="s">
        <v>33</v>
      </c>
      <c r="B2" s="8" t="s">
        <v>607</v>
      </c>
      <c r="C2" s="8" t="s">
        <v>176</v>
      </c>
      <c r="D2" s="8" t="s">
        <v>608</v>
      </c>
      <c r="E2" s="8" t="s">
        <v>609</v>
      </c>
      <c r="F2" s="8" t="s">
        <v>610</v>
      </c>
      <c r="G2" s="8" t="s">
        <v>611</v>
      </c>
      <c r="H2" s="8" t="s">
        <v>612</v>
      </c>
      <c r="I2" s="8" t="s">
        <v>613</v>
      </c>
      <c r="J2" s="8" t="s">
        <v>614</v>
      </c>
      <c r="K2" s="8" t="s">
        <v>615</v>
      </c>
      <c r="L2" s="8" t="s">
        <v>616</v>
      </c>
    </row>
    <row r="3" customFormat="false" ht="46.25" hidden="false" customHeight="false" outlineLevel="0" collapsed="false">
      <c r="A3" s="9" t="s">
        <v>617</v>
      </c>
      <c r="B3" s="9" t="s">
        <v>618</v>
      </c>
      <c r="C3" s="9" t="s">
        <v>619</v>
      </c>
      <c r="D3" s="9" t="s">
        <v>620</v>
      </c>
      <c r="E3" s="9" t="s">
        <v>621</v>
      </c>
      <c r="F3" s="9" t="s">
        <v>622</v>
      </c>
      <c r="G3" s="9" t="s">
        <v>623</v>
      </c>
      <c r="H3" s="9" t="s">
        <v>624</v>
      </c>
      <c r="I3" s="9" t="s">
        <v>625</v>
      </c>
      <c r="J3" s="9" t="s">
        <v>626</v>
      </c>
      <c r="K3" s="9" t="s">
        <v>627</v>
      </c>
      <c r="L3" s="9" t="s">
        <v>628</v>
      </c>
    </row>
    <row r="4" customFormat="false" ht="35.05" hidden="false" customHeight="false" outlineLevel="0" collapsed="false">
      <c r="A4" s="10" t="s">
        <v>629</v>
      </c>
      <c r="B4" s="10" t="s">
        <v>630</v>
      </c>
      <c r="C4" s="10" t="s">
        <v>619</v>
      </c>
      <c r="D4" s="10" t="s">
        <v>631</v>
      </c>
      <c r="E4" s="10" t="s">
        <v>632</v>
      </c>
      <c r="F4" s="10" t="s">
        <v>633</v>
      </c>
      <c r="G4" s="10" t="s">
        <v>634</v>
      </c>
      <c r="H4" s="10" t="s">
        <v>635</v>
      </c>
      <c r="I4" s="10" t="s">
        <v>636</v>
      </c>
      <c r="J4" s="10" t="s">
        <v>637</v>
      </c>
      <c r="K4" s="10" t="s">
        <v>638</v>
      </c>
      <c r="L4" s="10" t="s">
        <v>639</v>
      </c>
    </row>
    <row r="5" customFormat="false" ht="35.05" hidden="false" customHeight="false" outlineLevel="0" collapsed="false">
      <c r="A5" s="9" t="s">
        <v>640</v>
      </c>
      <c r="B5" s="9" t="s">
        <v>641</v>
      </c>
      <c r="C5" s="9" t="s">
        <v>619</v>
      </c>
      <c r="D5" s="9" t="s">
        <v>642</v>
      </c>
      <c r="E5" s="9" t="s">
        <v>643</v>
      </c>
      <c r="F5" s="9" t="s">
        <v>644</v>
      </c>
      <c r="G5" s="9" t="s">
        <v>645</v>
      </c>
      <c r="H5" s="9" t="s">
        <v>646</v>
      </c>
      <c r="I5" s="9" t="s">
        <v>647</v>
      </c>
      <c r="J5" s="9" t="s">
        <v>648</v>
      </c>
      <c r="K5" s="9" t="s">
        <v>649</v>
      </c>
      <c r="L5" s="9" t="s">
        <v>650</v>
      </c>
    </row>
    <row r="6" customFormat="false" ht="35.05" hidden="false" customHeight="false" outlineLevel="0" collapsed="false">
      <c r="A6" s="10" t="s">
        <v>651</v>
      </c>
      <c r="B6" s="10" t="s">
        <v>652</v>
      </c>
      <c r="C6" s="10" t="s">
        <v>619</v>
      </c>
      <c r="D6" s="10" t="s">
        <v>653</v>
      </c>
      <c r="E6" s="10" t="s">
        <v>654</v>
      </c>
      <c r="F6" s="10" t="s">
        <v>655</v>
      </c>
      <c r="G6" s="10" t="s">
        <v>656</v>
      </c>
      <c r="H6" s="10" t="s">
        <v>657</v>
      </c>
      <c r="I6" s="10" t="s">
        <v>658</v>
      </c>
      <c r="J6" s="10" t="s">
        <v>659</v>
      </c>
      <c r="K6" s="10" t="s">
        <v>660</v>
      </c>
      <c r="L6" s="10" t="s">
        <v>661</v>
      </c>
    </row>
    <row r="7" customFormat="false" ht="35.05" hidden="false" customHeight="false" outlineLevel="0" collapsed="false">
      <c r="A7" s="9" t="s">
        <v>662</v>
      </c>
      <c r="B7" s="9" t="s">
        <v>663</v>
      </c>
      <c r="C7" s="9" t="s">
        <v>664</v>
      </c>
      <c r="D7" s="9" t="s">
        <v>665</v>
      </c>
      <c r="E7" s="9" t="s">
        <v>666</v>
      </c>
      <c r="F7" s="9" t="s">
        <v>667</v>
      </c>
      <c r="G7" s="9" t="s">
        <v>668</v>
      </c>
      <c r="H7" s="9" t="s">
        <v>669</v>
      </c>
      <c r="I7" s="9" t="s">
        <v>670</v>
      </c>
      <c r="J7" s="9" t="s">
        <v>671</v>
      </c>
      <c r="K7" s="9" t="s">
        <v>672</v>
      </c>
      <c r="L7" s="9" t="s">
        <v>673</v>
      </c>
    </row>
    <row r="8" customFormat="false" ht="46.25" hidden="false" customHeight="false" outlineLevel="0" collapsed="false">
      <c r="A8" s="10" t="s">
        <v>674</v>
      </c>
      <c r="B8" s="10" t="s">
        <v>675</v>
      </c>
      <c r="C8" s="10" t="s">
        <v>664</v>
      </c>
      <c r="D8" s="10" t="s">
        <v>676</v>
      </c>
      <c r="E8" s="10" t="s">
        <v>677</v>
      </c>
      <c r="F8" s="10" t="s">
        <v>678</v>
      </c>
      <c r="G8" s="10" t="s">
        <v>679</v>
      </c>
      <c r="H8" s="10" t="s">
        <v>680</v>
      </c>
      <c r="I8" s="10" t="s">
        <v>681</v>
      </c>
      <c r="J8" s="10" t="s">
        <v>682</v>
      </c>
      <c r="K8" s="10" t="s">
        <v>683</v>
      </c>
      <c r="L8" s="10" t="s">
        <v>684</v>
      </c>
    </row>
    <row r="9" customFormat="false" ht="35.05" hidden="false" customHeight="false" outlineLevel="0" collapsed="false">
      <c r="A9" s="9" t="s">
        <v>685</v>
      </c>
      <c r="B9" s="9" t="s">
        <v>686</v>
      </c>
      <c r="C9" s="9" t="s">
        <v>687</v>
      </c>
      <c r="D9" s="9" t="s">
        <v>688</v>
      </c>
      <c r="E9" s="9" t="s">
        <v>689</v>
      </c>
      <c r="F9" s="9" t="s">
        <v>690</v>
      </c>
      <c r="G9" s="9" t="s">
        <v>691</v>
      </c>
      <c r="H9" s="9" t="s">
        <v>692</v>
      </c>
      <c r="I9" s="9" t="s">
        <v>693</v>
      </c>
      <c r="J9" s="9" t="s">
        <v>694</v>
      </c>
      <c r="K9" s="9" t="s">
        <v>695</v>
      </c>
      <c r="L9" s="9" t="s">
        <v>696</v>
      </c>
    </row>
    <row r="10" customFormat="false" ht="57.45" hidden="false" customHeight="false" outlineLevel="0" collapsed="false">
      <c r="A10" s="10" t="s">
        <v>697</v>
      </c>
      <c r="B10" s="10" t="s">
        <v>698</v>
      </c>
      <c r="C10" s="10" t="s">
        <v>699</v>
      </c>
      <c r="D10" s="10" t="s">
        <v>700</v>
      </c>
      <c r="E10" s="10" t="s">
        <v>701</v>
      </c>
      <c r="F10" s="10" t="s">
        <v>702</v>
      </c>
      <c r="G10" s="10" t="s">
        <v>703</v>
      </c>
      <c r="H10" s="10" t="s">
        <v>704</v>
      </c>
      <c r="I10" s="10" t="s">
        <v>705</v>
      </c>
      <c r="J10" s="10" t="s">
        <v>706</v>
      </c>
      <c r="K10" s="10" t="s">
        <v>707</v>
      </c>
      <c r="L10" s="10" t="s">
        <v>708</v>
      </c>
    </row>
    <row r="11" customFormat="false" ht="35.05" hidden="false" customHeight="false" outlineLevel="0" collapsed="false">
      <c r="A11" s="9" t="s">
        <v>709</v>
      </c>
      <c r="B11" s="9" t="s">
        <v>710</v>
      </c>
      <c r="C11" s="9" t="s">
        <v>699</v>
      </c>
      <c r="D11" s="9" t="s">
        <v>711</v>
      </c>
      <c r="E11" s="9" t="s">
        <v>712</v>
      </c>
      <c r="F11" s="9" t="s">
        <v>713</v>
      </c>
      <c r="G11" s="9" t="s">
        <v>703</v>
      </c>
      <c r="H11" s="9" t="s">
        <v>714</v>
      </c>
      <c r="I11" s="9" t="s">
        <v>715</v>
      </c>
      <c r="J11" s="9" t="s">
        <v>716</v>
      </c>
      <c r="K11" s="9" t="s">
        <v>717</v>
      </c>
      <c r="L11" s="9" t="s">
        <v>718</v>
      </c>
    </row>
    <row r="12" customFormat="false" ht="46.25" hidden="false" customHeight="false" outlineLevel="0" collapsed="false">
      <c r="A12" s="10" t="s">
        <v>719</v>
      </c>
      <c r="B12" s="10" t="s">
        <v>720</v>
      </c>
      <c r="C12" s="10" t="s">
        <v>699</v>
      </c>
      <c r="D12" s="10" t="s">
        <v>721</v>
      </c>
      <c r="E12" s="10" t="s">
        <v>722</v>
      </c>
      <c r="F12" s="10" t="s">
        <v>713</v>
      </c>
      <c r="G12" s="10" t="s">
        <v>703</v>
      </c>
      <c r="H12" s="10" t="s">
        <v>723</v>
      </c>
      <c r="I12" s="10" t="s">
        <v>724</v>
      </c>
      <c r="J12" s="10" t="s">
        <v>725</v>
      </c>
      <c r="K12" s="10" t="s">
        <v>726</v>
      </c>
      <c r="L12" s="10" t="s">
        <v>727</v>
      </c>
    </row>
    <row r="13" customFormat="false" ht="35.05" hidden="false" customHeight="false" outlineLevel="0" collapsed="false">
      <c r="A13" s="9" t="s">
        <v>728</v>
      </c>
      <c r="B13" s="9" t="s">
        <v>729</v>
      </c>
      <c r="C13" s="9" t="s">
        <v>699</v>
      </c>
      <c r="D13" s="9" t="s">
        <v>730</v>
      </c>
      <c r="E13" s="9" t="s">
        <v>731</v>
      </c>
      <c r="F13" s="9" t="s">
        <v>713</v>
      </c>
      <c r="G13" s="9" t="s">
        <v>703</v>
      </c>
      <c r="H13" s="9" t="s">
        <v>732</v>
      </c>
      <c r="I13" s="9" t="s">
        <v>715</v>
      </c>
      <c r="J13" s="9" t="s">
        <v>733</v>
      </c>
      <c r="K13" s="9" t="s">
        <v>734</v>
      </c>
      <c r="L13" s="9" t="s">
        <v>735</v>
      </c>
    </row>
    <row r="14" customFormat="false" ht="46.25" hidden="false" customHeight="false" outlineLevel="0" collapsed="false">
      <c r="A14" s="10" t="s">
        <v>736</v>
      </c>
      <c r="B14" s="10" t="s">
        <v>737</v>
      </c>
      <c r="C14" s="10" t="s">
        <v>738</v>
      </c>
      <c r="D14" s="10" t="s">
        <v>739</v>
      </c>
      <c r="E14" s="10" t="s">
        <v>740</v>
      </c>
      <c r="F14" s="10" t="s">
        <v>741</v>
      </c>
      <c r="G14" s="10" t="s">
        <v>742</v>
      </c>
      <c r="H14" s="10" t="s">
        <v>743</v>
      </c>
      <c r="I14" s="10" t="s">
        <v>744</v>
      </c>
      <c r="J14" s="10" t="s">
        <v>745</v>
      </c>
      <c r="K14" s="10" t="s">
        <v>746</v>
      </c>
      <c r="L14" s="10" t="s">
        <v>747</v>
      </c>
    </row>
  </sheetData>
  <autoFilter ref="A2:L14"/>
  <mergeCells count="1">
    <mergeCell ref="A1:L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8"/>
    <col collapsed="false" customWidth="true" hidden="false" outlineLevel="0" max="4" min="4" style="0" width="44"/>
    <col collapsed="false" customWidth="true" hidden="false" outlineLevel="0" max="5" min="5" style="0" width="40"/>
    <col collapsed="false" customWidth="true" hidden="false" outlineLevel="0" max="6" min="6" style="0" width="66"/>
    <col collapsed="false" customWidth="true" hidden="false" outlineLevel="0" max="7" min="7" style="0" width="20"/>
    <col collapsed="false" customWidth="true" hidden="false" outlineLevel="0" max="8" min="8" style="0" width="44"/>
  </cols>
  <sheetData>
    <row r="1" customFormat="false" ht="25.5" hidden="false" customHeight="true" outlineLevel="0" collapsed="false">
      <c r="A1" s="7" t="s">
        <v>748</v>
      </c>
      <c r="B1" s="7"/>
      <c r="C1" s="7"/>
      <c r="D1" s="7"/>
      <c r="E1" s="7"/>
      <c r="F1" s="7"/>
      <c r="G1" s="7"/>
      <c r="H1" s="7"/>
    </row>
    <row r="2" customFormat="false" ht="30" hidden="false" customHeight="true" outlineLevel="0" collapsed="false">
      <c r="A2" s="8" t="s">
        <v>749</v>
      </c>
      <c r="B2" s="8" t="s">
        <v>750</v>
      </c>
      <c r="C2" s="8" t="s">
        <v>751</v>
      </c>
      <c r="D2" s="8" t="s">
        <v>752</v>
      </c>
      <c r="E2" s="8" t="s">
        <v>753</v>
      </c>
      <c r="F2" s="8" t="s">
        <v>754</v>
      </c>
      <c r="G2" s="8" t="s">
        <v>607</v>
      </c>
      <c r="H2" s="8" t="s">
        <v>755</v>
      </c>
    </row>
    <row r="3" customFormat="false" ht="35.05" hidden="false" customHeight="false" outlineLevel="0" collapsed="false">
      <c r="A3" s="9" t="s">
        <v>939</v>
      </c>
      <c r="B3" s="9" t="s">
        <v>940</v>
      </c>
      <c r="C3" s="9" t="s">
        <v>941</v>
      </c>
      <c r="D3" s="9" t="s">
        <v>942</v>
      </c>
      <c r="E3" s="9" t="s">
        <v>943</v>
      </c>
      <c r="F3" s="9" t="s">
        <v>944</v>
      </c>
      <c r="G3" s="9" t="s">
        <v>945</v>
      </c>
      <c r="H3" s="9" t="s">
        <v>946</v>
      </c>
    </row>
    <row r="4" customFormat="false" ht="23.85" hidden="false" customHeight="false" outlineLevel="0" collapsed="false">
      <c r="A4" s="12" t="s">
        <v>756</v>
      </c>
      <c r="B4" s="12" t="s">
        <v>483</v>
      </c>
      <c r="C4" s="12" t="s">
        <v>757</v>
      </c>
      <c r="D4" s="10" t="s">
        <v>763</v>
      </c>
      <c r="E4" s="10" t="s">
        <v>764</v>
      </c>
      <c r="F4" s="10" t="s">
        <v>765</v>
      </c>
      <c r="G4" s="10" t="s">
        <v>766</v>
      </c>
      <c r="H4" s="12" t="s">
        <v>767</v>
      </c>
    </row>
    <row r="5" customFormat="false" ht="23.85" hidden="false" customHeight="false" outlineLevel="0" collapsed="false">
      <c r="A5" s="9" t="s">
        <v>976</v>
      </c>
      <c r="B5" s="9" t="s">
        <v>977</v>
      </c>
      <c r="C5" s="9" t="s">
        <v>978</v>
      </c>
      <c r="D5" s="9" t="s">
        <v>979</v>
      </c>
      <c r="E5" s="9" t="s">
        <v>980</v>
      </c>
      <c r="F5" s="9" t="s">
        <v>981</v>
      </c>
      <c r="G5" s="9" t="s">
        <v>982</v>
      </c>
      <c r="H5" s="9" t="s">
        <v>983</v>
      </c>
    </row>
    <row r="6" customFormat="false" hidden="false" customHeight="false" outlineLevel="0" collapsed="false">
      <c r="A6" s="9" t="s">
        <v>947</v>
      </c>
      <c r="B6" s="9" t="s">
        <v>948</v>
      </c>
      <c r="C6" s="9" t="s">
        <v>949</v>
      </c>
      <c r="D6" s="9" t="s">
        <v>950</v>
      </c>
      <c r="E6" s="9" t="s">
        <v>951</v>
      </c>
      <c r="F6" s="9" t="s">
        <v>952</v>
      </c>
      <c r="G6" s="9" t="s">
        <v>953</v>
      </c>
      <c r="H6" s="9" t="s">
        <v>954</v>
      </c>
    </row>
    <row r="7" customFormat="false" hidden="false" customHeight="false" outlineLevel="0" collapsed="false">
      <c r="A7" s="9" t="s">
        <v>955</v>
      </c>
      <c r="B7" s="9" t="s">
        <v>956</v>
      </c>
      <c r="C7" s="9" t="s">
        <v>957</v>
      </c>
      <c r="D7" s="9" t="s">
        <v>958</v>
      </c>
      <c r="E7" s="9" t="s">
        <v>959</v>
      </c>
      <c r="F7" s="9" t="s">
        <v>971</v>
      </c>
      <c r="G7" s="9" t="s">
        <v>961</v>
      </c>
      <c r="H7" s="9" t="s">
        <v>1012</v>
      </c>
    </row>
    <row r="8" customFormat="false" hidden="false" customHeight="false" outlineLevel="0" collapsed="false">
      <c r="A8" s="9" t="s">
        <v>963</v>
      </c>
      <c r="B8" s="9" t="s">
        <v>964</v>
      </c>
      <c r="C8" s="9" t="s">
        <v>965</v>
      </c>
      <c r="D8" s="9" t="s">
        <v>966</v>
      </c>
      <c r="E8" s="9" t="s">
        <v>967</v>
      </c>
      <c r="F8" s="9" t="s">
        <v>968</v>
      </c>
      <c r="G8" s="9" t="s">
        <v>969</v>
      </c>
      <c r="H8" s="9" t="s">
        <v>970</v>
      </c>
    </row>
  </sheetData>
  <autoFilter ref="A2:H5"/>
  <mergeCells count="1">
    <mergeCell ref="A1:H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4"/>
    <col collapsed="false" customWidth="true" hidden="false" outlineLevel="0" max="3" min="3" style="0" width="11"/>
    <col collapsed="false" customWidth="true" hidden="false" outlineLevel="0" max="15" min="4" style="0" width="30"/>
    <col collapsed="false" customWidth="true" hidden="false" outlineLevel="0" max="16" min="16" style="0" width="34"/>
  </cols>
  <sheetData>
    <row r="1" customFormat="false" ht="25.5" hidden="false" customHeight="true" outlineLevel="0" collapsed="false">
      <c r="A1" s="7" t="s">
        <v>773</v>
      </c>
      <c r="B1" s="7"/>
      <c r="C1" s="7"/>
      <c r="D1" s="7"/>
      <c r="E1" s="7"/>
      <c r="F1" s="7"/>
      <c r="G1" s="7"/>
      <c r="H1" s="7"/>
      <c r="I1" s="7"/>
      <c r="J1" s="7"/>
      <c r="K1" s="7"/>
      <c r="L1" s="7"/>
      <c r="M1" s="7"/>
      <c r="N1" s="7"/>
      <c r="O1" s="7"/>
      <c r="P1" s="7"/>
    </row>
    <row r="2" customFormat="false" ht="30" hidden="false" customHeight="true" outlineLevel="0" collapsed="false">
      <c r="A2" s="8" t="s">
        <v>774</v>
      </c>
      <c r="B2" s="8" t="s">
        <v>775</v>
      </c>
      <c r="C2" s="8" t="s">
        <v>749</v>
      </c>
      <c r="D2" s="8" t="s">
        <v>776</v>
      </c>
      <c r="E2" s="8" t="s">
        <v>777</v>
      </c>
      <c r="F2" s="8" t="s">
        <v>778</v>
      </c>
      <c r="G2" s="8" t="s">
        <v>779</v>
      </c>
      <c r="H2" s="8" t="s">
        <v>780</v>
      </c>
      <c r="I2" s="8" t="s">
        <v>781</v>
      </c>
      <c r="J2" s="8" t="s">
        <v>782</v>
      </c>
      <c r="K2" s="8" t="s">
        <v>783</v>
      </c>
      <c r="L2" s="8" t="s">
        <v>784</v>
      </c>
      <c r="M2" s="8" t="s">
        <v>785</v>
      </c>
      <c r="N2" s="8" t="s">
        <v>786</v>
      </c>
      <c r="O2" s="8" t="s">
        <v>787</v>
      </c>
      <c r="P2" s="8" t="s">
        <v>788</v>
      </c>
    </row>
    <row r="3" customFormat="false" ht="23.85" hidden="false" customHeight="false" outlineLevel="0" collapsed="false">
      <c r="A3" s="9" t="s">
        <v>789</v>
      </c>
      <c r="B3" s="12" t="s">
        <v>790</v>
      </c>
      <c r="C3" s="12" t="s">
        <v>756</v>
      </c>
      <c r="D3" s="12" t="s">
        <v>791</v>
      </c>
      <c r="E3" s="12" t="s">
        <v>792</v>
      </c>
      <c r="F3" s="12" t="s">
        <v>793</v>
      </c>
      <c r="G3" s="12" t="s">
        <v>794</v>
      </c>
      <c r="H3" s="12" t="s">
        <v>794</v>
      </c>
      <c r="I3" s="12" t="s">
        <v>794</v>
      </c>
      <c r="J3" s="12" t="s">
        <v>794</v>
      </c>
      <c r="K3" s="12" t="s">
        <v>795</v>
      </c>
      <c r="L3" s="12" t="s">
        <v>794</v>
      </c>
      <c r="M3" s="12" t="s">
        <v>794</v>
      </c>
      <c r="N3" s="12" t="s">
        <v>796</v>
      </c>
      <c r="O3" s="9" t="s">
        <v>797</v>
      </c>
      <c r="P3" s="12" t="s">
        <v>798</v>
      </c>
    </row>
  </sheetData>
  <autoFilter ref="A2:P3"/>
  <mergeCells count="1">
    <mergeCell ref="A1:P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8"/>
    <col collapsed="false" customWidth="true" hidden="false" outlineLevel="0" max="3" min="3" style="0" width="24"/>
    <col collapsed="false" customWidth="true" hidden="false" outlineLevel="0" max="4" min="4" style="0" width="66"/>
  </cols>
  <sheetData>
    <row r="1" customFormat="false" ht="25.5" hidden="false" customHeight="true" outlineLevel="0" collapsed="false">
      <c r="A1" s="7" t="s">
        <v>799</v>
      </c>
      <c r="B1" s="7"/>
      <c r="C1" s="7"/>
      <c r="D1" s="7"/>
    </row>
    <row r="2" customFormat="false" ht="30" hidden="false" customHeight="true" outlineLevel="0" collapsed="false">
      <c r="A2" s="8" t="s">
        <v>800</v>
      </c>
      <c r="B2" s="8" t="s">
        <v>801</v>
      </c>
      <c r="C2" s="8" t="s">
        <v>802</v>
      </c>
      <c r="D2" s="8" t="s">
        <v>803</v>
      </c>
    </row>
    <row r="3" customFormat="false" ht="15" hidden="false" customHeight="false" outlineLevel="0" collapsed="false">
      <c r="A3" s="9" t="s">
        <v>804</v>
      </c>
      <c r="B3" s="9" t="s">
        <v>805</v>
      </c>
      <c r="C3" s="9" t="s">
        <v>806</v>
      </c>
      <c r="D3" s="9" t="s">
        <v>807</v>
      </c>
    </row>
    <row r="4" customFormat="false" ht="15" hidden="false" customHeight="false" outlineLevel="0" collapsed="false">
      <c r="A4" s="10" t="s">
        <v>804</v>
      </c>
      <c r="B4" s="10" t="s">
        <v>808</v>
      </c>
      <c r="C4" s="10" t="s">
        <v>809</v>
      </c>
      <c r="D4" s="10" t="s">
        <v>810</v>
      </c>
    </row>
    <row r="5" customFormat="false" ht="15" hidden="false" customHeight="false" outlineLevel="0" collapsed="false">
      <c r="A5" s="9" t="s">
        <v>804</v>
      </c>
      <c r="B5" s="9" t="s">
        <v>811</v>
      </c>
      <c r="C5" s="9" t="s">
        <v>806</v>
      </c>
      <c r="D5" s="9" t="s">
        <v>812</v>
      </c>
    </row>
    <row r="6" customFormat="false" ht="15" hidden="false" customHeight="false" outlineLevel="0" collapsed="false">
      <c r="A6" s="10" t="s">
        <v>805</v>
      </c>
      <c r="B6" s="10" t="s">
        <v>808</v>
      </c>
      <c r="C6" s="10" t="s">
        <v>813</v>
      </c>
      <c r="D6" s="10" t="s">
        <v>814</v>
      </c>
    </row>
    <row r="7" customFormat="false" ht="15" hidden="false" customHeight="false" outlineLevel="0" collapsed="false">
      <c r="A7" s="9" t="s">
        <v>805</v>
      </c>
      <c r="B7" s="9" t="s">
        <v>805</v>
      </c>
      <c r="C7" s="9" t="s">
        <v>806</v>
      </c>
      <c r="D7" s="9" t="s">
        <v>815</v>
      </c>
    </row>
    <row r="8" customFormat="false" ht="15" hidden="false" customHeight="false" outlineLevel="0" collapsed="false">
      <c r="A8" s="10" t="s">
        <v>805</v>
      </c>
      <c r="B8" s="10" t="s">
        <v>811</v>
      </c>
      <c r="C8" s="10" t="s">
        <v>806</v>
      </c>
      <c r="D8" s="10" t="s">
        <v>816</v>
      </c>
    </row>
    <row r="9" customFormat="false" ht="15" hidden="false" customHeight="false" outlineLevel="0" collapsed="false">
      <c r="A9" s="9" t="s">
        <v>808</v>
      </c>
      <c r="B9" s="9" t="s">
        <v>817</v>
      </c>
      <c r="C9" s="9" t="s">
        <v>813</v>
      </c>
      <c r="D9" s="9" t="s">
        <v>818</v>
      </c>
    </row>
    <row r="10" customFormat="false" ht="15" hidden="false" customHeight="false" outlineLevel="0" collapsed="false">
      <c r="A10" s="10" t="s">
        <v>808</v>
      </c>
      <c r="B10" s="10" t="s">
        <v>819</v>
      </c>
      <c r="C10" s="10" t="s">
        <v>813</v>
      </c>
      <c r="D10" s="10" t="s">
        <v>820</v>
      </c>
    </row>
    <row r="11" customFormat="false" ht="15" hidden="false" customHeight="false" outlineLevel="0" collapsed="false">
      <c r="A11" s="9" t="s">
        <v>817</v>
      </c>
      <c r="B11" s="9" t="s">
        <v>808</v>
      </c>
      <c r="C11" s="9" t="s">
        <v>813</v>
      </c>
      <c r="D11" s="9" t="s">
        <v>821</v>
      </c>
    </row>
    <row r="12" customFormat="false" ht="15" hidden="false" customHeight="false" outlineLevel="0" collapsed="false">
      <c r="A12" s="10" t="s">
        <v>817</v>
      </c>
      <c r="B12" s="10" t="s">
        <v>811</v>
      </c>
      <c r="C12" s="10" t="s">
        <v>806</v>
      </c>
      <c r="D12" s="10" t="s">
        <v>816</v>
      </c>
    </row>
    <row r="13" customFormat="false" ht="15" hidden="false" customHeight="false" outlineLevel="0" collapsed="false">
      <c r="A13" s="9" t="s">
        <v>819</v>
      </c>
      <c r="B13" s="9" t="s">
        <v>822</v>
      </c>
      <c r="C13" s="9" t="s">
        <v>823</v>
      </c>
      <c r="D13" s="9" t="s">
        <v>824</v>
      </c>
    </row>
    <row r="14" customFormat="false" ht="15" hidden="false" customHeight="false" outlineLevel="0" collapsed="false">
      <c r="A14" s="10" t="s">
        <v>819</v>
      </c>
      <c r="B14" s="10" t="s">
        <v>808</v>
      </c>
      <c r="C14" s="10" t="s">
        <v>806</v>
      </c>
      <c r="D14" s="10" t="s">
        <v>825</v>
      </c>
    </row>
  </sheetData>
  <autoFilter ref="A2:D14"/>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4"/>
    <col collapsed="false" customWidth="true" hidden="false" outlineLevel="0" max="3" min="3" style="0" width="12"/>
    <col collapsed="false" customWidth="true" hidden="false" outlineLevel="0" max="4" min="4" style="0" width="15"/>
    <col collapsed="false" customWidth="true" hidden="false" outlineLevel="0" max="5" min="5" style="0" width="13"/>
  </cols>
  <sheetData>
    <row r="1" customFormat="false" ht="25.5" hidden="false" customHeight="true" outlineLevel="0" collapsed="false">
      <c r="A1" s="7" t="s">
        <v>826</v>
      </c>
      <c r="B1" s="7"/>
      <c r="C1" s="7"/>
      <c r="D1" s="7"/>
      <c r="E1" s="7"/>
    </row>
    <row r="2" customFormat="false" ht="30" hidden="false" customHeight="true" outlineLevel="0" collapsed="false">
      <c r="A2" s="8" t="s">
        <v>827</v>
      </c>
      <c r="B2" s="8" t="s">
        <v>828</v>
      </c>
      <c r="C2" s="8" t="s">
        <v>809</v>
      </c>
      <c r="D2" s="8" t="s">
        <v>806</v>
      </c>
      <c r="E2" s="8" t="s">
        <v>829</v>
      </c>
    </row>
    <row r="3" customFormat="false" ht="15" hidden="false" customHeight="false" outlineLevel="0" collapsed="false">
      <c r="A3" s="9" t="s">
        <v>830</v>
      </c>
      <c r="B3" s="9" t="s">
        <v>831</v>
      </c>
      <c r="C3" s="9" t="s">
        <v>831</v>
      </c>
      <c r="D3" s="9" t="s">
        <v>831</v>
      </c>
      <c r="E3" s="9" t="s">
        <v>831</v>
      </c>
    </row>
    <row r="4" customFormat="false" ht="15" hidden="false" customHeight="false" outlineLevel="0" collapsed="false">
      <c r="A4" s="10" t="s">
        <v>832</v>
      </c>
      <c r="B4" s="10" t="s">
        <v>831</v>
      </c>
      <c r="C4" s="10" t="s">
        <v>831</v>
      </c>
      <c r="D4" s="10" t="s">
        <v>831</v>
      </c>
      <c r="E4" s="10" t="s">
        <v>831</v>
      </c>
    </row>
    <row r="5" customFormat="false" ht="15" hidden="false" customHeight="false" outlineLevel="0" collapsed="false">
      <c r="A5" s="9" t="s">
        <v>833</v>
      </c>
      <c r="B5" s="9" t="s">
        <v>834</v>
      </c>
      <c r="C5" s="9" t="s">
        <v>831</v>
      </c>
      <c r="D5" s="9" t="s">
        <v>831</v>
      </c>
      <c r="E5" s="9" t="s">
        <v>831</v>
      </c>
    </row>
    <row r="6" customFormat="false" ht="15" hidden="false" customHeight="false" outlineLevel="0" collapsed="false">
      <c r="A6" s="10" t="s">
        <v>835</v>
      </c>
      <c r="B6" s="10" t="s">
        <v>834</v>
      </c>
      <c r="C6" s="10" t="s">
        <v>831</v>
      </c>
      <c r="D6" s="10" t="s">
        <v>831</v>
      </c>
      <c r="E6" s="10" t="s">
        <v>831</v>
      </c>
    </row>
    <row r="7" customFormat="false" ht="15" hidden="false" customHeight="false" outlineLevel="0" collapsed="false">
      <c r="A7" s="9" t="s">
        <v>836</v>
      </c>
      <c r="B7" s="9" t="s">
        <v>834</v>
      </c>
      <c r="C7" s="9" t="s">
        <v>834</v>
      </c>
      <c r="D7" s="9" t="s">
        <v>831</v>
      </c>
      <c r="E7" s="9" t="s">
        <v>831</v>
      </c>
    </row>
    <row r="8" customFormat="false" ht="15" hidden="false" customHeight="false" outlineLevel="0" collapsed="false">
      <c r="A8" s="10" t="s">
        <v>837</v>
      </c>
      <c r="B8" s="10" t="s">
        <v>834</v>
      </c>
      <c r="C8" s="10" t="s">
        <v>831</v>
      </c>
      <c r="D8" s="10" t="s">
        <v>831</v>
      </c>
      <c r="E8" s="10" t="s">
        <v>834</v>
      </c>
    </row>
    <row r="9" customFormat="false" ht="15" hidden="false" customHeight="false" outlineLevel="0" collapsed="false">
      <c r="A9" s="9" t="s">
        <v>838</v>
      </c>
      <c r="B9" s="9" t="s">
        <v>834</v>
      </c>
      <c r="C9" s="9" t="s">
        <v>831</v>
      </c>
      <c r="D9" s="9" t="s">
        <v>831</v>
      </c>
      <c r="E9" s="9" t="s">
        <v>831</v>
      </c>
    </row>
    <row r="10" customFormat="false" ht="15" hidden="false" customHeight="false" outlineLevel="0" collapsed="false">
      <c r="A10" s="10" t="s">
        <v>839</v>
      </c>
      <c r="B10" s="10" t="s">
        <v>834</v>
      </c>
      <c r="C10" s="10" t="s">
        <v>831</v>
      </c>
      <c r="D10" s="10" t="s">
        <v>831</v>
      </c>
      <c r="E10" s="10" t="s">
        <v>831</v>
      </c>
    </row>
    <row r="11" customFormat="false" ht="15" hidden="false" customHeight="false" outlineLevel="0" collapsed="false">
      <c r="A11" s="9" t="s">
        <v>840</v>
      </c>
      <c r="B11" s="9" t="s">
        <v>834</v>
      </c>
      <c r="C11" s="9" t="s">
        <v>834</v>
      </c>
      <c r="D11" s="9" t="s">
        <v>831</v>
      </c>
      <c r="E11" s="9" t="s">
        <v>831</v>
      </c>
    </row>
    <row r="12" customFormat="false" ht="15" hidden="false" customHeight="false" outlineLevel="0" collapsed="false">
      <c r="A12" s="10" t="s">
        <v>841</v>
      </c>
      <c r="B12" s="10" t="s">
        <v>834</v>
      </c>
      <c r="C12" s="10" t="s">
        <v>834</v>
      </c>
      <c r="D12" s="10" t="s">
        <v>831</v>
      </c>
      <c r="E12" s="10" t="s">
        <v>831</v>
      </c>
    </row>
    <row r="13" customFormat="false" ht="15" hidden="false" customHeight="false" outlineLevel="0" collapsed="false">
      <c r="A13" s="9" t="s">
        <v>842</v>
      </c>
      <c r="B13" s="9" t="s">
        <v>834</v>
      </c>
      <c r="C13" s="9" t="s">
        <v>834</v>
      </c>
      <c r="D13" s="9" t="s">
        <v>831</v>
      </c>
      <c r="E13" s="9" t="s">
        <v>831</v>
      </c>
    </row>
    <row r="14" customFormat="false" ht="15" hidden="false" customHeight="false" outlineLevel="0" collapsed="false">
      <c r="A14" s="10" t="s">
        <v>843</v>
      </c>
      <c r="B14" s="10" t="s">
        <v>834</v>
      </c>
      <c r="C14" s="10" t="s">
        <v>834</v>
      </c>
      <c r="D14" s="10" t="s">
        <v>831</v>
      </c>
      <c r="E14" s="10" t="s">
        <v>831</v>
      </c>
    </row>
    <row r="15" customFormat="false" ht="15" hidden="false" customHeight="false" outlineLevel="0" collapsed="false">
      <c r="A15" s="9" t="s">
        <v>844</v>
      </c>
      <c r="B15" s="9" t="s">
        <v>834</v>
      </c>
      <c r="C15" s="9" t="s">
        <v>834</v>
      </c>
      <c r="D15" s="9" t="s">
        <v>834</v>
      </c>
      <c r="E15" s="9" t="s">
        <v>831</v>
      </c>
    </row>
    <row r="16" customFormat="false" ht="15" hidden="false" customHeight="false" outlineLevel="0" collapsed="false">
      <c r="A16" s="10" t="s">
        <v>845</v>
      </c>
      <c r="B16" s="10" t="s">
        <v>834</v>
      </c>
      <c r="C16" s="10" t="s">
        <v>834</v>
      </c>
      <c r="D16" s="10" t="s">
        <v>834</v>
      </c>
      <c r="E16" s="10" t="s">
        <v>831</v>
      </c>
    </row>
    <row r="17" customFormat="false" ht="15" hidden="false" customHeight="false" outlineLevel="0" collapsed="false">
      <c r="A17" s="9" t="s">
        <v>846</v>
      </c>
      <c r="B17" s="9" t="s">
        <v>834</v>
      </c>
      <c r="C17" s="9" t="s">
        <v>834</v>
      </c>
      <c r="D17" s="9" t="s">
        <v>834</v>
      </c>
      <c r="E17" s="9" t="s">
        <v>834</v>
      </c>
    </row>
  </sheetData>
  <autoFilter ref="A2:E17"/>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30"/>
  </cols>
  <sheetData>
    <row r="1" customFormat="false" ht="25.5" hidden="false" customHeight="true" outlineLevel="0" collapsed="false">
      <c r="A1" s="7" t="s">
        <v>847</v>
      </c>
      <c r="B1" s="7"/>
    </row>
    <row r="2" customFormat="false" ht="30" hidden="false" customHeight="true" outlineLevel="0" collapsed="false">
      <c r="A2" s="8" t="s">
        <v>848</v>
      </c>
      <c r="B2" s="8" t="s">
        <v>849</v>
      </c>
    </row>
    <row r="3" customFormat="false" ht="23.85" hidden="false" customHeight="false" outlineLevel="0" collapsed="false">
      <c r="A3" s="9" t="s">
        <v>850</v>
      </c>
      <c r="B3" s="9" t="s">
        <v>851</v>
      </c>
    </row>
    <row r="4" customFormat="false" ht="23.85" hidden="false" customHeight="false" outlineLevel="0" collapsed="false">
      <c r="A4" s="10" t="s">
        <v>852</v>
      </c>
      <c r="B4" s="10" t="s">
        <v>853</v>
      </c>
    </row>
    <row r="5" customFormat="false" ht="15" hidden="false" customHeight="false" outlineLevel="0" collapsed="false">
      <c r="A5" s="9" t="s">
        <v>854</v>
      </c>
      <c r="B5" s="9" t="s">
        <v>855</v>
      </c>
    </row>
    <row r="6" customFormat="false" ht="23.85" hidden="false" customHeight="false" outlineLevel="0" collapsed="false">
      <c r="A6" s="10" t="s">
        <v>856</v>
      </c>
      <c r="B6" s="10" t="s">
        <v>857</v>
      </c>
    </row>
    <row r="7" customFormat="false" ht="23.85" hidden="false" customHeight="false" outlineLevel="0" collapsed="false">
      <c r="A7" s="9" t="s">
        <v>858</v>
      </c>
      <c r="B7" s="9" t="s">
        <v>859</v>
      </c>
    </row>
    <row r="8" customFormat="false" ht="23.85" hidden="false" customHeight="false" outlineLevel="0" collapsed="false">
      <c r="A8" s="10" t="s">
        <v>860</v>
      </c>
      <c r="B8" s="10" t="s">
        <v>861</v>
      </c>
    </row>
    <row r="9" customFormat="false" ht="23.85" hidden="false" customHeight="false" outlineLevel="0" collapsed="false">
      <c r="A9" s="9" t="s">
        <v>862</v>
      </c>
      <c r="B9" s="9" t="s">
        <v>863</v>
      </c>
    </row>
    <row r="10" customFormat="false" ht="15" hidden="false" customHeight="false" outlineLevel="0" collapsed="false">
      <c r="A10" s="10" t="s">
        <v>864</v>
      </c>
      <c r="B10" s="10" t="s">
        <v>865</v>
      </c>
    </row>
    <row r="11" customFormat="false" ht="23.85" hidden="false" customHeight="false" outlineLevel="0" collapsed="false">
      <c r="A11" s="9" t="s">
        <v>866</v>
      </c>
      <c r="B11" s="9" t="s">
        <v>867</v>
      </c>
    </row>
    <row r="12" customFormat="false" ht="23.85" hidden="false" customHeight="false" outlineLevel="0" collapsed="false">
      <c r="A12" s="10" t="s">
        <v>868</v>
      </c>
      <c r="B12" s="10" t="s">
        <v>869</v>
      </c>
    </row>
    <row r="13" customFormat="false" ht="23.85" hidden="false" customHeight="false" outlineLevel="0" collapsed="false">
      <c r="A13" s="9" t="s">
        <v>870</v>
      </c>
      <c r="B13" s="9" t="s">
        <v>871</v>
      </c>
    </row>
    <row r="14" customFormat="false" ht="23.85" hidden="false" customHeight="false" outlineLevel="0" collapsed="false">
      <c r="A14" s="10" t="s">
        <v>872</v>
      </c>
      <c r="B14" s="10" t="s">
        <v>873</v>
      </c>
    </row>
  </sheetData>
  <autoFilter ref="A2:B14"/>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96"/>
    <col collapsed="false" customWidth="true" hidden="false" outlineLevel="0" max="3" min="3" style="0" width="40"/>
  </cols>
  <sheetData>
    <row r="1" customFormat="false" ht="25.5" hidden="false" customHeight="true" outlineLevel="0" collapsed="false">
      <c r="A1" s="7" t="s">
        <v>874</v>
      </c>
      <c r="B1" s="7"/>
      <c r="C1" s="7"/>
    </row>
    <row r="2" customFormat="false" ht="30" hidden="false" customHeight="true" outlineLevel="0" collapsed="false">
      <c r="A2" s="8" t="s">
        <v>875</v>
      </c>
      <c r="B2" s="8" t="s">
        <v>876</v>
      </c>
      <c r="C2" s="8" t="s">
        <v>877</v>
      </c>
    </row>
    <row r="3" customFormat="false" ht="23.85" hidden="false" customHeight="false" outlineLevel="0" collapsed="false">
      <c r="A3" s="9" t="s">
        <v>878</v>
      </c>
      <c r="B3" s="9" t="s">
        <v>879</v>
      </c>
      <c r="C3" s="9" t="s">
        <v>984</v>
      </c>
    </row>
    <row r="4" customFormat="false" ht="15" hidden="false" customHeight="false" outlineLevel="0" collapsed="false">
      <c r="A4" s="10" t="s">
        <v>881</v>
      </c>
      <c r="B4" s="10" t="s">
        <v>882</v>
      </c>
      <c r="C4" s="10" t="s">
        <v>985</v>
      </c>
    </row>
    <row r="5" customFormat="false" ht="15" hidden="false" customHeight="false" outlineLevel="0" collapsed="false">
      <c r="A5" s="9" t="s">
        <v>884</v>
      </c>
      <c r="B5" s="9" t="s">
        <v>885</v>
      </c>
      <c r="C5" s="9" t="s">
        <v>986</v>
      </c>
    </row>
    <row r="6" customFormat="false" ht="15" hidden="false" customHeight="false" outlineLevel="0" collapsed="false">
      <c r="A6" s="10" t="s">
        <v>887</v>
      </c>
      <c r="B6" s="10" t="s">
        <v>888</v>
      </c>
      <c r="C6" s="10" t="s">
        <v>987</v>
      </c>
    </row>
    <row r="7" customFormat="false" ht="15" hidden="false" customHeight="false" outlineLevel="0" collapsed="false">
      <c r="A7" s="9" t="s">
        <v>890</v>
      </c>
      <c r="B7" s="9" t="s">
        <v>891</v>
      </c>
      <c r="C7" s="9" t="s">
        <v>988</v>
      </c>
    </row>
    <row r="8" customFormat="false" ht="15" hidden="false" customHeight="false" outlineLevel="0" collapsed="false">
      <c r="A8" s="10" t="s">
        <v>893</v>
      </c>
      <c r="B8" s="10" t="s">
        <v>894</v>
      </c>
      <c r="C8" s="10" t="s">
        <v>989</v>
      </c>
    </row>
    <row r="9" customFormat="false" ht="15" hidden="false" customHeight="false" outlineLevel="0" collapsed="false">
      <c r="A9" s="9" t="s">
        <v>895</v>
      </c>
      <c r="B9" s="9" t="s">
        <v>896</v>
      </c>
      <c r="C9" s="9" t="s">
        <v>990</v>
      </c>
    </row>
    <row r="10" customFormat="false" ht="23.85" hidden="false" customHeight="false" outlineLevel="0" collapsed="false">
      <c r="A10" s="10" t="s">
        <v>898</v>
      </c>
      <c r="B10" s="10" t="s">
        <v>899</v>
      </c>
      <c r="C10" s="10" t="s">
        <v>996</v>
      </c>
    </row>
    <row r="11" customFormat="false" ht="23.85" hidden="false" customHeight="false" outlineLevel="0" collapsed="false">
      <c r="A11" s="9" t="s">
        <v>901</v>
      </c>
      <c r="B11" s="9" t="s">
        <v>902</v>
      </c>
      <c r="C11" s="9" t="s">
        <v>992</v>
      </c>
    </row>
    <row r="12" customFormat="false" ht="35.05" hidden="false" customHeight="false" outlineLevel="0" collapsed="false">
      <c r="A12" s="10" t="s">
        <v>904</v>
      </c>
      <c r="B12" s="10" t="s">
        <v>905</v>
      </c>
      <c r="C12" s="10" t="s">
        <v>997</v>
      </c>
    </row>
    <row r="13" customFormat="false" ht="15" hidden="false" customHeight="false" outlineLevel="0" collapsed="false">
      <c r="A13" s="9" t="s">
        <v>907</v>
      </c>
      <c r="B13" s="9" t="s">
        <v>908</v>
      </c>
      <c r="C13" s="9" t="s">
        <v>994</v>
      </c>
    </row>
    <row r="14" customFormat="false" ht="23.85" hidden="false" customHeight="false" outlineLevel="0" collapsed="false">
      <c r="A14" s="10" t="s">
        <v>909</v>
      </c>
      <c r="B14" s="10" t="s">
        <v>910</v>
      </c>
      <c r="C14" s="10" t="s">
        <v>995</v>
      </c>
    </row>
  </sheetData>
  <autoFilter ref="A2:C14"/>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66"/>
  </cols>
  <sheetData>
    <row r="1" customFormat="false" ht="25.5" hidden="false" customHeight="true" outlineLevel="0" collapsed="false">
      <c r="A1" s="7" t="s">
        <v>912</v>
      </c>
      <c r="B1" s="7"/>
    </row>
    <row r="2" customFormat="false" ht="30" hidden="false" customHeight="true" outlineLevel="0" collapsed="false">
      <c r="A2" s="8" t="s">
        <v>913</v>
      </c>
      <c r="B2" s="8" t="s">
        <v>914</v>
      </c>
    </row>
    <row r="3" customFormat="false" ht="15" hidden="false" customHeight="false" outlineLevel="0" collapsed="false">
      <c r="A3" s="9" t="s">
        <v>915</v>
      </c>
      <c r="B3" s="9" t="s">
        <v>916</v>
      </c>
    </row>
    <row r="4" customFormat="false" ht="15" hidden="false" customHeight="false" outlineLevel="0" collapsed="false">
      <c r="A4" s="10" t="s">
        <v>917</v>
      </c>
      <c r="B4" s="10" t="s">
        <v>918</v>
      </c>
    </row>
    <row r="5" customFormat="false" ht="15" hidden="false" customHeight="false" outlineLevel="0" collapsed="false">
      <c r="A5" s="9" t="s">
        <v>919</v>
      </c>
      <c r="B5" s="9" t="s">
        <v>920</v>
      </c>
    </row>
    <row r="6" customFormat="false" ht="15" hidden="false" customHeight="false" outlineLevel="0" collapsed="false">
      <c r="A6" s="10" t="s">
        <v>3</v>
      </c>
      <c r="B6" s="10" t="s">
        <v>921</v>
      </c>
    </row>
    <row r="7" customFormat="false" ht="15" hidden="false" customHeight="false" outlineLevel="0" collapsed="false">
      <c r="A7" s="9" t="s">
        <v>749</v>
      </c>
      <c r="B7" s="12" t="s">
        <v>922</v>
      </c>
    </row>
    <row r="8" customFormat="false" ht="15" hidden="false" customHeight="false" outlineLevel="0" collapsed="false">
      <c r="A8" s="10" t="s">
        <v>923</v>
      </c>
      <c r="B8" s="10" t="s">
        <v>924</v>
      </c>
    </row>
    <row r="9" customFormat="false" ht="15" hidden="false" customHeight="false" outlineLevel="0" collapsed="false">
      <c r="A9" s="9" t="s">
        <v>925</v>
      </c>
      <c r="B9" s="9" t="s">
        <v>924</v>
      </c>
    </row>
    <row r="10" customFormat="false" ht="15" hidden="false" customHeight="false" outlineLevel="0" collapsed="false">
      <c r="A10" s="10" t="s">
        <v>926</v>
      </c>
      <c r="B10" s="10" t="s">
        <v>924</v>
      </c>
    </row>
    <row r="11" customFormat="false" ht="15" hidden="false" customHeight="false" outlineLevel="0" collapsed="false">
      <c r="A11" s="9" t="s">
        <v>927</v>
      </c>
      <c r="B11" s="9" t="s">
        <v>924</v>
      </c>
    </row>
    <row r="12" customFormat="false" ht="15" hidden="false" customHeight="false" outlineLevel="0" collapsed="false">
      <c r="A12" s="10" t="s">
        <v>928</v>
      </c>
      <c r="B12" s="10" t="s">
        <v>924</v>
      </c>
    </row>
    <row r="13" customFormat="false" ht="15" hidden="false" customHeight="false" outlineLevel="0" collapsed="false">
      <c r="A13" s="9" t="s">
        <v>929</v>
      </c>
      <c r="B13" s="9" t="s">
        <v>924</v>
      </c>
    </row>
    <row r="14" customFormat="false" ht="15" hidden="false" customHeight="false" outlineLevel="0" collapsed="false">
      <c r="A14" s="10" t="s">
        <v>930</v>
      </c>
      <c r="B14" s="10" t="s">
        <v>931</v>
      </c>
    </row>
    <row r="15" customFormat="false" ht="15" hidden="false" customHeight="false" outlineLevel="0" collapsed="false">
      <c r="A15" s="9" t="s">
        <v>932</v>
      </c>
      <c r="B15" s="12" t="s">
        <v>933</v>
      </c>
    </row>
    <row r="16" customFormat="false" ht="15" hidden="false" customHeight="false" outlineLevel="0" collapsed="false">
      <c r="A16" s="10" t="s">
        <v>934</v>
      </c>
      <c r="B16" s="10" t="s">
        <v>935</v>
      </c>
    </row>
    <row r="17" customFormat="false" ht="15" hidden="false" customHeight="false" outlineLevel="0" collapsed="false">
      <c r="A17" s="9" t="s">
        <v>936</v>
      </c>
      <c r="B17" s="9" t="s">
        <v>935</v>
      </c>
    </row>
    <row r="18" customFormat="false" ht="15" hidden="false" customHeight="false" outlineLevel="0" collapsed="false">
      <c r="A18" s="10" t="s">
        <v>937</v>
      </c>
      <c r="B18" s="10" t="s">
        <v>935</v>
      </c>
    </row>
    <row r="19" customFormat="false" ht="15" hidden="false" customHeight="false" outlineLevel="0" collapsed="false">
      <c r="A19" s="9" t="s">
        <v>938</v>
      </c>
      <c r="B19" s="12" t="s">
        <v>933</v>
      </c>
    </row>
  </sheetData>
  <autoFilter ref="A2:B19"/>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2026-09-03T04:44:13Z</dcterms:created>
  <dc:creator>openpyxl</dc:creator>
  <dc:description/>
  <dc:language>en-US</dc:language>
  <cp:lastModifiedBy/>
  <dcterms:modified xsi:type="dcterms:W3CDTF">2026-09-03T04:44:13Z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