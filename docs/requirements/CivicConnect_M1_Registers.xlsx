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Register'!$A$2:$H$26</definedName>
    <definedName function="false" hidden="true" localSheetId="16" name="_xlnm._FilterDatabase" vbProcedure="false">'Baseline Sign-off'!$A$2:$B$19</definedName>
    <definedName function="false" hidden="true" localSheetId="11" name="_xlnm._FilterDatabase" vbProcedure="false">'Change Requests'!$A$2:$P$5</definedName>
    <definedName function="false" hidden="true" localSheetId="5" name="_xlnm._FilterDatabase" vbProcedure="false">Constraints!$A$2:$D$10</definedName>
    <definedName function="false" hidden="true" localSheetId="9" name="_xlnm._FilterDatabase" vbProcedure="false">'Decision Log'!$A$2:$L$17</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Register'!$A$2:$L$25</definedName>
    <definedName function="false" hidden="true" localSheetId="6" name="_xlnm._FilterDatabase" vbProcedure="false">RTM!$A$2:$O$44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<sst xmlns="http://schemas.openxmlformats.org/spreadsheetml/2006/main" count="1761" uniqueCount="1036">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</sst>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9</v>
      </c>
    </row>
    <row r="23" customFormat="false" ht="15" hidden="false" customHeight="false" outlineLevel="0" collapsed="false">
      <c r="A23" s="3" t="s">
        <v>27</v>
      </c>
      <c r="B23" s="6" t="n">
        <f aca="false">COUNTIF('Risk Register'!G3:G200,"Medium")</f>
        <v>12</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15</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A cell with no evidence yet holds a controlled status: Planned (M3), Not yet designed, Not yet decided, Not yet implemented or Not applicable. FR-016 is traced end to end.</t>
        </is>
      </c>
      <c r="B1" s="7"/>
      <c r="C1" s="7"/>
      <c r="D1" s="7"/>
      <c r="E1" s="7"/>
      <c r="F1" s="7"/>
      <c r="G1" s="7"/>
      <c r="H1" s="7"/>
      <c r="I1" s="7"/>
      <c r="J1" s="7"/>
      <c r="K1" s="7"/>
      <c r="L1" s="7"/>
      <c r="M1" s="7"/>
      <c r="N1" s="7"/>
      <c r="O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Proposed, ADR-007 (#97, under review):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Not yet implemented</t>
        </is>
      </c>
      <c r="M3" s="9" t="inlineStr">
        <is>
          <t xml:space="preserve">Planned (M3)</t>
        </is>
      </c>
      <c r="N3" s="9" t="inlineStr">
        <is>
          <t xml:space="preserve">RSK-05, RSK-01, ADR-002</t>
        </is>
      </c>
      <c r="O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Proposed, ADR-007 (#97, under review):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merged)</t>
        </is>
      </c>
      <c r="M4" s="10" t="inlineStr">
        <is>
          <t xml:space="preserve">tests/authorisation-policy.test.js (#94): every Access Matrix cell. Endpoint negative tests planned (M3)</t>
        </is>
      </c>
      <c r="N4" s="10" t="inlineStr">
        <is>
          <t xml:space="preserve">RSK-05, FEC-01, ADR-006, CR-002 (#92)</t>
        </is>
      </c>
      <c r="O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Proposed, ADR-007 (#97, under review): User.role, one role per user</t>
        </is>
      </c>
      <c r="J5" s="9" t="inlineStr">
        <is>
          <t xml:space="preserve">Not yet designed</t>
        </is>
      </c>
      <c r="K5" s="9" t="inlineStr">
        <is>
          <t xml:space="preserve">ADR-002 (DEC-008, #91): Node.js 24, Express 5, Prisma 7 on PostgreSQL</t>
        </is>
      </c>
      <c r="L5" s="9" t="inlineStr">
        <is>
          <t xml:space="preserve">Not yet implemented</t>
        </is>
      </c>
      <c r="M5" s="9" t="inlineStr">
        <is>
          <t xml:space="preserve">Planned (M3)</t>
        </is>
      </c>
      <c r="N5" s="9" t="inlineStr">
        <is>
          <t xml:space="preserve">ADR-007 (proposed)</t>
        </is>
      </c>
      <c r="O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Not yet implemented</t>
        </is>
      </c>
      <c r="M6" s="10" t="inlineStr">
        <is>
          <t xml:space="preserve">Planned (M3)</t>
        </is>
      </c>
      <c r="N6" s="10" t="inlineStr">
        <is>
          <t xml:space="preserve">RSK-05</t>
        </is>
      </c>
      <c r="O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Proposed, ADR-007 (#97, under review): Request. Location and reported urgency were requested on review of #97</t>
        </is>
      </c>
      <c r="J7" s="9" t="inlineStr">
        <is>
          <t xml:space="preserve">Not yet designed</t>
        </is>
      </c>
      <c r="K7" s="9" t="inlineStr">
        <is>
          <t xml:space="preserve">ADR-002 (DEC-008, #91): Node.js 24, Express 5, Prisma 7 on PostgreSQL</t>
        </is>
      </c>
      <c r="L7" s="9" t="inlineStr">
        <is>
          <t xml:space="preserve">Not yet implemented</t>
        </is>
      </c>
      <c r="M7" s="9" t="inlineStr">
        <is>
          <t xml:space="preserve">Planned (M3)</t>
        </is>
      </c>
      <c r="N7" s="9" t="inlineStr">
        <is>
          <t xml:space="preserve">ADR-007 (proposed)</t>
        </is>
      </c>
      <c r="O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Proposed, ADR-007 (#97, under review): Category with an active flag, referenced by a foreign key</t>
        </is>
      </c>
      <c r="J8" s="10" t="inlineStr">
        <is>
          <t xml:space="preserve">Not yet designed</t>
        </is>
      </c>
      <c r="K8" s="10" t="inlineStr">
        <is>
          <t xml:space="preserve">ADR-002 (DEC-008, #91): Node.js 24, Express 5, Prisma 7 on PostgreSQL</t>
        </is>
      </c>
      <c r="L8" s="10" t="inlineStr">
        <is>
          <t xml:space="preserve">Not yet implemented</t>
        </is>
      </c>
      <c r="M8" s="10" t="inlineStr">
        <is>
          <t xml:space="preserve">Planned (M3)</t>
        </is>
      </c>
      <c r="N8" s="10" t="inlineStr">
        <is>
          <t xml:space="preserve">FEC-02, ADR-007 (proposed)</t>
        </is>
      </c>
      <c r="O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Proposed, ADR-007 (#97, under review): Not-null and foreign-key constraints behind service validation</t>
        </is>
      </c>
      <c r="J9" s="9" t="inlineStr">
        <is>
          <t xml:space="preserve">ADR-007 (proposed): validation divided across interface, service and database (A2 Task 2)</t>
        </is>
      </c>
      <c r="K9" s="9" t="inlineStr">
        <is>
          <t xml:space="preserve">ADR-002 (DEC-008, #91): Node.js 24, Express 5, Prisma 7 on PostgreSQL</t>
        </is>
      </c>
      <c r="L9" s="9" t="inlineStr">
        <is>
          <t xml:space="preserve">Not yet implemented</t>
        </is>
      </c>
      <c r="M9" s="9" t="inlineStr">
        <is>
          <t xml:space="preserve">Planned (M3)</t>
        </is>
      </c>
      <c r="N9" s="9" t="inlineStr">
        <is>
          <t xml:space="preserve">ADR-007 (proposed)</t>
        </is>
      </c>
      <c r="O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Proposed, ADR-007 (#97, under review): Reference from a database sequence with a unique constraint. Gaps after a failed transaction are accepted</t>
        </is>
      </c>
      <c r="J10" s="10" t="inlineStr">
        <is>
          <t xml:space="preserve">ADR-007 (proposed): database-native atomic sequence (A2 Task 2)</t>
        </is>
      </c>
      <c r="K10" s="10" t="inlineStr">
        <is>
          <t xml:space="preserve">ADR-002 (DEC-008, #91): Node.js 24, Express 5, Prisma 7 on PostgreSQL</t>
        </is>
      </c>
      <c r="L10" s="10" t="inlineStr">
        <is>
          <t xml:space="preserve">Not yet implemented</t>
        </is>
      </c>
      <c r="M10" s="10" t="inlineStr">
        <is>
          <t xml:space="preserve">Planned (M3)</t>
        </is>
      </c>
      <c r="N10" s="10" t="inlineStr">
        <is>
          <t xml:space="preserve">DEC-004, ADR-007 (proposed)</t>
        </is>
      </c>
      <c r="O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Proposed, ADR-007 (#97, under review):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Not yet implemented</t>
        </is>
      </c>
      <c r="M11" s="9" t="inlineStr">
        <is>
          <t xml:space="preserve">Planned (M3)</t>
        </is>
      </c>
      <c r="N11" s="9" t="inlineStr">
        <is>
          <t xml:space="preserve">ADR-007 (proposed)</t>
        </is>
      </c>
      <c r="O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Proposed, ADR-007 (#97, under review):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Scope in src/modules/authorisation-policy/policy.js (#94, merged). List not yet implemented</t>
        </is>
      </c>
      <c r="M12" s="10" t="inlineStr">
        <is>
          <t xml:space="preserve">Scope tested in tests/authorisation-policy.test.js (#94). List planned (M3)</t>
        </is>
      </c>
      <c r="N12" s="10" t="inlineStr">
        <is>
          <t xml:space="preserve">ADR-006</t>
        </is>
      </c>
      <c r="O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Proposed, ADR-007 (#97, under review): Status history, and visibility on entries. Action entries as their own entity were requested on review of #97</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Scope in src/modules/authorisation-policy/policy.js (#94, merged). Detail view not yet implemented</t>
        </is>
      </c>
      <c r="M13" s="9" t="inlineStr">
        <is>
          <t xml:space="preserve">tests/authorisation-policy.test.js (#94). The payload negative test is planned (M3)</t>
        </is>
      </c>
      <c r="N13" s="9" t="inlineStr">
        <is>
          <t xml:space="preserve">RSK-05, FEC-01, DEC-003, ADR-006</t>
        </is>
      </c>
      <c r="O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Proposed, ADR-007 (#97, under review):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src/modules/authorisation-policy/policy.js (#94, merged)</t>
        </is>
      </c>
      <c r="M14" s="10" t="inlineStr">
        <is>
          <t xml:space="preserve">tests/authorisation-policy.test.js (#94): the query condition and the single-request check select the same requests. Endpoint negative test planned (M3)</t>
        </is>
      </c>
      <c r="N14" s="10" t="inlineStr">
        <is>
          <t xml:space="preserve">RSK-05, FEC-01, ADR-006</t>
        </is>
      </c>
      <c r="O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Proposed, ADR-007 (#97, under review):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src/modules/authorisation-policy/policy.js (#94, merged)</t>
        </is>
      </c>
      <c r="M15" s="9" t="inlineStr">
        <is>
          <t xml:space="preserve">tests/authorisation-policy.test.js (#94). Queue planned (M3)</t>
        </is>
      </c>
      <c r="N15" s="9" t="inlineStr">
        <is>
          <t xml:space="preserve">FEC-01, ADR-006</t>
        </is>
      </c>
      <c r="O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Proposed, ADR-007 (#97, under review):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Not yet implemented</t>
        </is>
      </c>
      <c r="M16" s="10" t="inlineStr">
        <is>
          <t xml:space="preserve">Planned (M3)</t>
        </is>
      </c>
      <c r="N16" s="10" t="inlineStr">
        <is>
          <t xml:space="preserve">FEC-06, ADR-007 (proposed)</t>
        </is>
      </c>
      <c r="O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Proposed, ADR-007 (#97, under review):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src/modules/workflow-status/transition-table.js and transitions.js (#93, merged); src/modules/authorisation-policy/policy.js (#94, merged)</t>
        </is>
      </c>
      <c r="M17" s="9" t="inlineStr">
        <is>
          <t xml:space="preserve">tests/workflow-status.test.js (#93) and tests/authorisation-policy.test.js (#94). Endpoint tests planned (M3)</t>
        </is>
      </c>
      <c r="N17" s="9" t="inlineStr">
        <is>
          <t xml:space="preserve">ADR-005, ADR-006, CR-002 (#92)</t>
        </is>
      </c>
      <c r="O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Proposed, ADR-007 (#97, under review): Request.status and a RequestStatusHistory row,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src/modules/workflow-status/transition-table.js and transitions.js (#93, merged 29 September 2026)</t>
        </is>
      </c>
      <c r="M18" s="10" t="inlineStr">
        <is>
          <t xml:space="preserve">tests/workflow-status.test.js: all 196 combinations of status pair and role against a fixture exported from the Status Model register; three deliberate faults each failed the suite (#93). Refusal at the endpoint planned (M3)</t>
        </is>
      </c>
      <c r="N18" s="10" t="inlineStr">
        <is>
          <t xml:space="preserve">RSK-09, FEC-02, ADR-001, ADR-005, ADR-006, CR-002 (#92)</t>
        </is>
      </c>
      <c r="O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Proposed, ADR-007 (#97, under review): Visibility on entries, required with no default. Action entries as their own entity were requested on review of #97</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Scope in src/modules/authorisation-policy/policy.js (#94, merged). Recording not yet implemented</t>
        </is>
      </c>
      <c r="M19" s="9" t="inlineStr">
        <is>
          <t xml:space="preserve">Scope tested in tests/authorisation-policy.test.js (#94). Recording planned (M3)</t>
        </is>
      </c>
      <c r="N19" s="9" t="inlineStr">
        <is>
          <t xml:space="preserve">RSK-05, DEC-003, ADR-006</t>
        </is>
      </c>
      <c r="O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Proposed, ADR-007 (#97, under review): Where the resolution summary is stored was requested on review of #97</t>
        </is>
      </c>
      <c r="J20" s="10" t="inlineStr">
        <is>
          <t xml:space="preserve">ADR-005 (DEC-013): resolution-summary guard on In Progress to Resolved</t>
        </is>
      </c>
      <c r="K20" s="10" t="inlineStr">
        <is>
          <t xml:space="preserve">ADR-002 (DEC-008, #91): Node.js 24, Express 5, Prisma 7 on PostgreSQL</t>
        </is>
      </c>
      <c r="L20" s="10" t="inlineStr">
        <is>
          <t xml:space="preserve">src/modules/workflow-status/transition-table.js and transitions.js (#93, merged)</t>
        </is>
      </c>
      <c r="M20" s="10" t="inlineStr">
        <is>
          <t xml:space="preserve">tests/workflow-status.test.js (#93)</t>
        </is>
      </c>
      <c r="N20" s="10" t="inlineStr">
        <is>
          <t xml:space="preserve">ADR-005</t>
        </is>
      </c>
      <c r="O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Proposed, ADR-007 (#97, under review):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src/modules/workflow-status/transition-table.js and transitions.js (#93, merged)</t>
        </is>
      </c>
      <c r="M21" s="9" t="inlineStr">
        <is>
          <t xml:space="preserve">tests/workflow-status.test.js (#93)</t>
        </is>
      </c>
      <c r="N21" s="9" t="inlineStr">
        <is>
          <t xml:space="preserve">ADR-005</t>
        </is>
      </c>
      <c r="O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Proposed, ADR-007 (#97, under review):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src/modules/workflow-status/transition-table.js and transitions.js (#93, merged)</t>
        </is>
      </c>
      <c r="M22" s="10" t="inlineStr">
        <is>
          <t xml:space="preserve">tests/workflow-status.test.js (#93)</t>
        </is>
      </c>
      <c r="N22" s="10" t="inlineStr">
        <is>
          <t xml:space="preserve">ADR-005, ADR-006, CR-002 (#92)</t>
        </is>
      </c>
      <c r="O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Proposed, ADR-007 (#97, under review): Priority nullable until set. Reported urgency as a separate field was requested on review of #97</t>
        </is>
      </c>
      <c r="J23" s="9" t="inlineStr">
        <is>
          <t xml:space="preserve">ADR-006 (DEC-014): setPriority permitted to the Coordinator only</t>
        </is>
      </c>
      <c r="K23" s="9" t="inlineStr">
        <is>
          <t xml:space="preserve">ADR-002 (DEC-008, #91): Node.js 24, Express 5, Prisma 7 on PostgreSQL</t>
        </is>
      </c>
      <c r="L23" s="9" t="inlineStr">
        <is>
          <t xml:space="preserve">src/modules/authorisation-policy/policy.js (#94, merged). Priority change not yet implemented</t>
        </is>
      </c>
      <c r="M23" s="9" t="inlineStr">
        <is>
          <t xml:space="preserve">tests/authorisation-policy.test.js (#94). Priority change planned (M3)</t>
        </is>
      </c>
      <c r="N23" s="9" t="inlineStr">
        <is>
          <t xml:space="preserve">DEC-002, ADR-006, CR-002 (#92)</t>
        </is>
      </c>
      <c r="O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Not yet implemented</t>
        </is>
      </c>
      <c r="M24" s="10" t="inlineStr">
        <is>
          <t xml:space="preserve">Planned (M3)</t>
        </is>
      </c>
      <c r="N24" s="10" t="inlineStr">
        <is>
          <t xml:space="preserve">RSK-09, FEC-02, FEC-06, ADR-001</t>
        </is>
      </c>
      <c r="O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Not yet implemented</t>
        </is>
      </c>
      <c r="M25" s="9" t="inlineStr">
        <is>
          <t xml:space="preserve">Planned (M3)</t>
        </is>
      </c>
      <c r="N25" s="9" t="inlineStr">
        <is>
          <t xml:space="preserve">FEC-06, ADR-001</t>
        </is>
      </c>
      <c r="O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Not yet implemented</t>
        </is>
      </c>
      <c r="M26" s="10" t="inlineStr">
        <is>
          <t xml:space="preserve">Planned (M3)</t>
        </is>
      </c>
      <c r="N26" s="10" t="inlineStr">
        <is>
          <t xml:space="preserve">FEC-02, ADR-001</t>
        </is>
      </c>
      <c r="O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Proposed, ADR-007 (#97, under review): AuditEntry. Previous and new values were requested on review of #97</t>
        </is>
      </c>
      <c r="J27" s="9" t="inlineStr">
        <is>
          <t xml:space="preserve">ADR-001 rule 3: a change and its audit entry commit in one transaction</t>
        </is>
      </c>
      <c r="K27" s="9" t="inlineStr">
        <is>
          <t xml:space="preserve">ADR-002 (DEC-008, #91): Node.js 24, Express 5, Prisma 7 on PostgreSQL</t>
        </is>
      </c>
      <c r="L27" s="9" t="inlineStr">
        <is>
          <t xml:space="preserve">Not yet implemented</t>
        </is>
      </c>
      <c r="M27" s="9" t="inlineStr">
        <is>
          <t xml:space="preserve">Planned (M3)</t>
        </is>
      </c>
      <c r="N27" s="9" t="inlineStr">
        <is>
          <t xml:space="preserve">ADR-001, ADR-007 (proposed)</t>
        </is>
      </c>
      <c r="O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Proposed, ADR-007 (#97, under review):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src/modules/authorisation-policy/policy.js (#94, merged)</t>
        </is>
      </c>
      <c r="M28" s="10" t="inlineStr">
        <is>
          <t xml:space="preserve">tests/authorisation-policy.test.js (#94): the Access Matrix row denies every role. Endpoint test planned (M3)</t>
        </is>
      </c>
      <c r="N28" s="10" t="inlineStr">
        <is>
          <t xml:space="preserve">ADR-006</t>
        </is>
      </c>
      <c r="O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Proposed, ADR-007 (#97, under review):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Not yet implemented</t>
        </is>
      </c>
      <c r="M29" s="9" t="inlineStr">
        <is>
          <t xml:space="preserve">Planned (M3)</t>
        </is>
      </c>
      <c r="N29" s="9" t="inlineStr">
        <is>
          <t xml:space="preserve">ADR-007 (proposed)</t>
        </is>
      </c>
      <c r="O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Proposed, ADR-007 (#97, under review): User active flag</t>
        </is>
      </c>
      <c r="J30" s="10" t="inlineStr">
        <is>
          <t xml:space="preserve">Not yet designed</t>
        </is>
      </c>
      <c r="K30" s="10" t="inlineStr">
        <is>
          <t xml:space="preserve">ADR-002 (DEC-008, #91): Node.js 24, Express 5, Prisma 7 on PostgreSQL</t>
        </is>
      </c>
      <c r="L30" s="10" t="inlineStr">
        <is>
          <t xml:space="preserve">Not yet implemented</t>
        </is>
      </c>
      <c r="M30" s="10" t="inlineStr">
        <is>
          <t xml:space="preserve">Planned (M3)</t>
        </is>
      </c>
      <c r="N30" s="10" t="inlineStr">
        <is>
          <t xml:space="preserve">ADR-007 (proposed)</t>
        </is>
      </c>
      <c r="O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Not yet designed. Where the indication is stored was requested on review of #98</t>
        </is>
      </c>
      <c r="J31" s="9" t="inlineStr">
        <is>
          <t xml:space="preserve">Proposed, ADR-008 (DEC-015, #98, under review): in-process notification interface</t>
        </is>
      </c>
      <c r="K31" s="9" t="inlineStr">
        <is>
          <t xml:space="preserve">ADR-002 (DEC-008, #91): Node.js 24, Express 5, Prisma 7 on PostgreSQL</t>
        </is>
      </c>
      <c r="L31" s="9" t="inlineStr">
        <is>
          <t xml:space="preserve">Not yet implemented</t>
        </is>
      </c>
      <c r="M31" s="9" t="inlineStr">
        <is>
          <t xml:space="preserve">Planned (M3)</t>
        </is>
      </c>
      <c r="N31" s="9" t="inlineStr">
        <is>
          <t xml:space="preserve">DEC-005, SC-D-01, FEC-03, ADR-008 (proposed)</t>
        </is>
      </c>
      <c r="O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Proposed, ADR-007 (#97, under review):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Not yet implemented</t>
        </is>
      </c>
      <c r="M32" s="10" t="inlineStr">
        <is>
          <t xml:space="preserve">Planned (M3): 20 timed retrievals against a seeded 5 000-request dataset</t>
        </is>
      </c>
      <c r="N32" s="10" t="inlineStr">
        <is>
          <t xml:space="preserve">FEC-04, FEC-06, ADR-001, ADR-006</t>
        </is>
      </c>
      <c r="O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Proposed, ADR-007 (#97, under review): Creation committed in one transaction</t>
        </is>
      </c>
      <c r="J33" s="9" t="inlineStr">
        <is>
          <t xml:space="preserve">ADR-007 (proposed): one creation transaction</t>
        </is>
      </c>
      <c r="K33" s="9" t="inlineStr">
        <is>
          <t xml:space="preserve">ADR-002 (DEC-008, #91): Node.js 24, Express 5, Prisma 7 on PostgreSQL</t>
        </is>
      </c>
      <c r="L33" s="9" t="inlineStr">
        <is>
          <t xml:space="preserve">Not yet implemented</t>
        </is>
      </c>
      <c r="M33" s="9" t="inlineStr">
        <is>
          <t xml:space="preserve">Planned (M3)</t>
        </is>
      </c>
      <c r="N33" s="9" t="inlineStr">
        <is>
          <t xml:space="preserve">ADR-007 (proposed)</t>
        </is>
      </c>
      <c r="O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endpoint in src/app.js (#90, open)</t>
        </is>
      </c>
      <c r="M34" s="10" t="inlineStr">
        <is>
          <t xml:space="preserve">tests/health.test.js (#90, open). Availability measurement planned (M3)</t>
        </is>
      </c>
      <c r="N34" s="10" t="inlineStr">
        <is>
          <t xml:space="preserve">RSK-02, FEC-05, DEC-010</t>
        </is>
      </c>
      <c r="O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Not yet implemented</t>
        </is>
      </c>
      <c r="M35" s="9" t="inlineStr">
        <is>
          <t xml:space="preserve">Planned (M3)</t>
        </is>
      </c>
      <c r="N35" s="9" t="inlineStr">
        <is>
          <t xml:space="preserve">RSK-05, ADR-002</t>
        </is>
      </c>
      <c r="O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Proposed, ADR-007 (#97, under review):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src/modules/authorisation-policy/policy.js (#94, merged)</t>
        </is>
      </c>
      <c r="M36" s="10" t="inlineStr">
        <is>
          <t xml:space="preserve">tests/authorisation-policy.test.js (#94): all sixty Access Matrix cells; four deliberate faults each failed the suite. Endpoint negative tests planned (M3)</t>
        </is>
      </c>
      <c r="N36" s="10" t="inlineStr">
        <is>
          <t xml:space="preserve">RSK-05, FEC-01, ADR-006, CR-002 (#92)</t>
        </is>
      </c>
      <c r="O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Not yet implemented</t>
        </is>
      </c>
      <c r="M37" s="9" t="inlineStr">
        <is>
          <t xml:space="preserve">Planned (M3)</t>
        </is>
      </c>
      <c r="N37" s="9" t="inlineStr">
        <is>
          <t xml:space="preserve">DEC-010</t>
        </is>
      </c>
      <c r="O37" s="9" t="s">
        <v>182</v>
      </c>
    </row>
    <row r="38" customFormat="false" ht="35.7"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proposed in #87</t>
        </is>
      </c>
      <c r="L38" s="10" t="inlineStr">
        <is>
          <t xml:space="preserve">#87, open. Actions are blocked by an account billing lock</t>
        </is>
      </c>
      <c r="M38" s="10" t="inlineStr">
        <is>
          <t xml:space="preserve">Planned: the scan runs on every pull request once #87 merges</t>
        </is>
      </c>
      <c r="N38" s="10" t="inlineStr">
        <is>
          <t xml:space="preserve">RSK-11</t>
        </is>
      </c>
      <c r="O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Proposed, ADR-007 (#97, under review):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Access scope in src/modules/authorisation-policy/policy.js (#94, merged)</t>
        </is>
      </c>
      <c r="M39" s="9" t="inlineStr">
        <is>
          <t xml:space="preserve">Planned (M3)</t>
        </is>
      </c>
      <c r="N39" s="9" t="inlineStr">
        <is>
          <t xml:space="preserve">RSK-05, RSK-10, FEC-04, ADR-006</t>
        </is>
      </c>
      <c r="O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Not yet implemented</t>
        </is>
      </c>
      <c r="M40" s="10" t="inlineStr">
        <is>
          <t xml:space="preserve">Planned (M3)</t>
        </is>
      </c>
      <c r="N40" s="10" t="inlineStr">
        <is>
          <t xml:space="preserve">-</t>
        </is>
      </c>
      <c r="O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Not yet implemented</t>
        </is>
      </c>
      <c r="M41" s="9" t="inlineStr">
        <is>
          <t xml:space="preserve">Planned (M3)</t>
        </is>
      </c>
      <c r="N41" s="9" t="inlineStr">
        <is>
          <t xml:space="preserve">-</t>
        </is>
      </c>
      <c r="O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Proposed, ADR-007 (#97, under review): Status and history written in one transaction. Previous and new values in the audit entry were requested on review of #97</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Not yet implemented</t>
        </is>
      </c>
      <c r="M42" s="10" t="inlineStr">
        <is>
          <t xml:space="preserve">Planned (M3): an audit entry per change type, and a reconciliation query</t>
        </is>
      </c>
      <c r="N42" s="10" t="inlineStr">
        <is>
          <t xml:space="preserve">RSK-09, ADR-001, ADR-005</t>
        </is>
      </c>
      <c r="O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tests/ (#93, #94, merged)</t>
        </is>
      </c>
      <c r="M43" s="9" t="inlineStr">
        <is>
          <t xml:space="preserve">22 tests pass locally. No CI check has run yet (#67)</t>
        </is>
      </c>
      <c r="N43" s="9" t="inlineStr">
        <is>
          <t xml:space="preserve">RSK-03, ADR-002</t>
        </is>
      </c>
      <c r="O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Not yet implemented</t>
        </is>
      </c>
      <c r="M44" s="10" t="inlineStr">
        <is>
          <t xml:space="preserve">Planned: a recorded cost review before release</t>
        </is>
      </c>
      <c r="N44" s="10" t="inlineStr">
        <is>
          <t xml:space="preserve">RSK-02, FEC-05, DEC-010</t>
        </is>
      </c>
      <c r="O44" s="10" t="s">
        <v>182</v>
      </c>
    </row>
  </sheetData>
  <autoFilter ref="A2:O44"/>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323.75"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#90 overrides deepmerge-ts to 8.0.2 and mysql2 to 3.24.4, and npm audit reports 0 vulnerabilities at 9529e80. The overrides are removed when a Prisma 7 release fixes issue #30295. Automated dependency checking arrives with #67.
M1 baseline: Make dependency-ecosystem maturity a criterion in DEC-008. Adopt lockfiles and automated dependency and vulnerability checking from the first construction Pull Request. Require any new dependency to be justified in the Pull Request that introduces it.</t>
        </is>
      </c>
      <c r="I14" s="10" t="s">
        <v>540</v>
      </c>
      <c r="J14" s="10" t="s">
        <v>1009</v>
      </c>
      <c r="K14" s="10" t="inlineStr">
        <is>
          <t xml:space="preserve">M2 (29 September 2026): Materialised - active. Prisma 7.10.0 pins deepmerge-ts 7.1.5 and mysql2 3.15.3, which carry high-severity advisories no 7.x release has fixed (Prisma issue #30295, found 28 September 2026). Probability re-scored from 2 to 3 under #68, for the owner to confirm.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sheetData>
  <autoFilter ref="A2:L25"/>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under review)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under #91),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Two proposed under #68: Prisma version drift, and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proposed to the Risk Register under #68: module boundaries eroding under schedule pressure (related to RSK-01 and CON-02), and reporting growth degrading the staff queue before it is measured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28.52" hidden="false" customHeight="false" outlineLevel="0" collapsed="false">
      <c r="A13" s="9" t="s">
        <v>728</v>
      </c>
      <c r="B13" s="9" t="s">
        <v>729</v>
      </c>
      <c r="C13" s="9" t="inlineStr">
        <is>
          <t xml:space="preserve">Proposed (M2, ADR-007 under review in #97)
M1 baseline: DEFERRED to M2</t>
        </is>
      </c>
      <c r="D13" s="9" t="inlineStr">
        <is>
          <t xml:space="preserve">M2 (28 September 2026, ADR-007, proposed):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(28 September 2026, ADR-007, proposed): CON-05 security; NFR-001 performance; NFR-011 auditability. Drivers ASR-01, ASR-02 and ASR-03 (#56).
M1 baseline: CON-05 security; NFR-001 performance; NFR-011 auditability.</t>
        </is>
      </c>
      <c r="F13" s="9" t="inlineStr">
        <is>
          <t xml:space="preserve">M2 (28 September 2026, ADR-007, proposed): ADR-001 and DEC-008 already fix one relational PostgreSQL store, so ADR-007 justifies the relational model and records no alternative store. Within it, a database sequence for the reference against reading the current maximum (A2 Task 2).
M1 baseline: Not yet evaluated.</t>
        </is>
      </c>
      <c r="G13" s="9" t="inlineStr">
        <is>
          <t xml:space="preserve">M2 (28 September 2026, ADR-007, proposed): PostgreSQL as the system of record, with User, Category, UserCategory, Request, RequestStatusHistory and AuditEntry. References from a database sequence with a unique constraint. Creation and each status change in one transaction. Validation in the interface, service and database. Users and categories deactivated, not deleted.
M1 baseline: Deliberately not decided.</t>
        </is>
      </c>
      <c r="H13" s="9" t="inlineStr">
        <is>
          <t xml:space="preserve">M2 (28 September 2026, ADR-007, proposed):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(28 September 2026, ADR-007, proposed):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(28 September 2026, ADR-007, proposed): Four in ADR-007, proposed under #68: reporting load on the queue, a query bypassing the authorisation scope, audit or history inconsistent with request state, and a backup that cannot restore.
M1 baseline: This is the longest-lived commitment in the system, because data outlives the application. FEC-01, FEC-02 and FEC-06 all constrain it.</t>
        </is>
      </c>
      <c r="K13" s="9" t="inlineStr">
        <is>
          <t xml:space="preserve">M2 (28 September 2026, ADR-007, proposed): ADR-007 and docs/data/initial-schema.sql (#97). Review on #97 requested the FR-005 location and urgency fields, action entries (FR-017), previous and new values (FR-025), and which of the SQL and the Prisma schema is authoritative.
M1 baseline: Evidence still required: the outcome of DEC-008; expected volume and retention from the organisation (FEC-06); the final record-level scope decision (FEC-01).</t>
        </is>
      </c>
      <c r="L13" s="9" t="inlineStr">
        <is>
          <t xml:space="preserve">M2 (28 September 2026, ADR-007, proposed):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One proposed under #68: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One proposed under #68: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35.05" hidden="false" customHeight="false" outlineLevel="0" collapsed="false">
      <c r="A17" s="9" t="inlineStr">
        <is>
          <t xml:space="preserve">DEC-015</t>
        </is>
      </c>
      <c r="B17" s="9" t="inlineStr">
        <is>
          <t xml:space="preserve">Request status notification interface</t>
        </is>
      </c>
      <c r="C17" s="9" t="inlineStr">
        <is>
          <t xml:space="preserve">Proposed (M2, ADR-008 under review in #98)</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An in-process interface. (b) An HTTP API between the modules. (c) A message broker or a separate notification service.</t>
        </is>
      </c>
      <c r="G17" s="9" t="inlineStr">
        <is>
          <t xml:space="preserve">Option (a): the workflow calls the notification interface after a status change commits. Email and SMS stay deferred under SC-D-01.</t>
        </is>
      </c>
      <c r="H17" s="9" t="inlineStr">
        <is>
          <t xml:space="preserve">Both ends are modules in one process, so a network boundary or a broker would add failure handling and deployment work without a requirement for it.</t>
        </is>
      </c>
      <c r="I17" s="9" t="inlineStr">
        <is>
          <t xml:space="preserve">No independent scaling and no durable asynchronous delivery. A window in which a status change commits and the notification fails.</t>
        </is>
      </c>
      <c r="J17" s="9" t="inlineStr">
        <is>
          <t xml:space="preserve">Five in ADR-008, proposed under #68.</t>
        </is>
      </c>
      <c r="K17" s="9" t="inlineStr">
        <is>
          <t xml:space="preserve">ADR-008 (#98). Review on #98 requested which FR-029 events produce an indication, and where the indication is stored.</t>
        </is>
      </c>
      <c r="L17" s="9" t="inlineStr">
        <is>
          <t xml:space="preserve">SC-D-01 reopens on the conditions ADR-008 lists. An asynchronous adapter would need its own decision.</t>
        </is>
      </c>
    </row>
  </sheetData>
  <autoFilter ref="A2:L17"/>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71.4" hidden="false" customHeight="false" outlineLevel="0" collapsed="false">
      <c r="A14" s="9" t="inlineStr">
        <is>
          <t xml:space="preserve">21 September 2026</t>
        </is>
      </c>
      <c r="B14" s="9" t="inlineStr">
        <is>
          <t xml:space="preserve">Jean Smit</t>
        </is>
      </c>
      <c r="C14" s="9" t="inlineStr">
        <is>
          <t xml:space="preserve">Claude (Anthropic), through Claude Code</t>
        </is>
      </c>
      <c r="D14" s="9" t="inlineStr">
        <is>
          <t xml:space="preserve">A3 Question 2: structuring the research, drafting the threat chains and the traceability table, and finding sources</t>
        </is>
      </c>
      <c r="E14" s="9" t="inlineStr">
        <is>
          <t xml:space="preserve">Structured the research, drafted the threat chains and the traceability table, and found sources</t>
        </is>
      </c>
      <c r="F14"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4" s="9" t="inlineStr">
        <is>
          <t xml:space="preserve">Accepted after revision</t>
        </is>
      </c>
      <c r="H14"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5" customFormat="false" ht="154.7"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4 and assembly (21, 22 and 28 September 2026)</t>
        </is>
      </c>
      <c r="E15" s="9" t="inlineStr">
        <is>
          <t xml:space="preserve">Drafted the map from Questions 1 to 3 and the registers, checked the sources of Questions 1 and 3, merged the sections, consolidated the references and built the document</t>
        </is>
      </c>
      <c r="F15"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5" s="9" t="inlineStr">
        <is>
          <t xml:space="preserve">Accepted after revision</t>
        </is>
      </c>
      <c r="H15"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6" customFormat="false" ht="71.4" hidden="false" customHeight="false" outlineLevel="0" collapsed="false">
      <c r="A16" s="9" t="inlineStr">
        <is>
          <t xml:space="preserve">23 September 2026</t>
        </is>
      </c>
      <c r="B16" s="9" t="inlineStr">
        <is>
          <t xml:space="preserve">Jean Smit</t>
        </is>
      </c>
      <c r="C16" s="9" t="inlineStr">
        <is>
          <t xml:space="preserve">Claude Code (Anthropic)</t>
        </is>
      </c>
      <c r="D16" s="9" t="inlineStr">
        <is>
          <t xml:space="preserve">Finalising ADR-002 (DEC-008) from Darius Mushi's three drafts, at his request, and amending it after review on #91 (28 September 2026)</t>
        </is>
      </c>
      <c r="E16" s="9" t="inlineStr">
        <is>
          <t xml:space="preserve">Fact-checked the drafts against the registers and #56, checked each version, release date and licence, and drafted the finalised record and its amendments</t>
        </is>
      </c>
      <c r="F16"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6" s="9" t="inlineStr">
        <is>
          <t xml:space="preserve">Accepted after revision</t>
        </is>
      </c>
      <c r="H16"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Moving the PED source to markdown with a Word build in the v1.0 house style (#55, CR-001)</t>
        </is>
      </c>
      <c r="E17" s="9" t="inlineStr">
        <is>
          <t xml:space="preserve">Wrote the conversion, the fidelity check and the build scripts, and the README</t>
        </is>
      </c>
      <c r="F17" s="9" t="inlineStr">
        <is>
          <t xml:space="preserve">The fidelity check converted the markdown back to Word and compared it with v1.0: 1504 blocks, no differences, 18,169 identical words. v1.0 was rebuilt from the markdown and its 48 content pages compared with v1.0 as rendered PDF pages</t>
        </is>
      </c>
      <c r="G17" s="9" t="inlineStr">
        <is>
          <t xml:space="preserve">Accepted after revision</t>
        </is>
      </c>
      <c r="H17"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8" customFormat="false" ht="59.5" hidden="false" customHeight="false" outlineLevel="0" collapsed="false">
      <c r="A18" s="9" t="inlineStr">
        <is>
          <t xml:space="preserve">28 September 2026</t>
        </is>
      </c>
      <c r="B18" s="9" t="inlineStr">
        <is>
          <t xml:space="preserve">Jean Smit</t>
        </is>
      </c>
      <c r="C18" s="9" t="inlineStr">
        <is>
          <t xml:space="preserve">Claude Code (Anthropic)</t>
        </is>
      </c>
      <c r="D18" s="9" t="inlineStr">
        <is>
          <t xml:space="preserve">Design decisions 1 and 2: ADR-005 and ADR-006 with their code and tests (#61, #62, #93, #94)</t>
        </is>
      </c>
      <c r="E18" s="9" t="inlineStr">
        <is>
          <t xml:space="preserve">Drafted both records from A2 Task 1, wrote the transition table, the policy module and their tests, and exported the fixtures from the registers</t>
        </is>
      </c>
      <c r="F18"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8" s="9" t="inlineStr">
        <is>
          <t xml:space="preserve">Accepted after revision</t>
        </is>
      </c>
      <c r="H18" s="9" t="inlineStr">
        <is>
          <t xml:space="preserve">The tests exposed four Access Matrix cells that grant what FR-015, FR-016, FR-020 and FR-021 refuse, raised as #92 and CR-002. A risk cited as RSK-11 was RSK-05, and a Decision Log number claimed before it was assigned was removed.</t>
        </is>
      </c>
    </row>
    <row r="19" customFormat="false" ht="47.6"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PED v2.0, sections 18 to 26 (#95)</t>
        </is>
      </c>
      <c r="E19" s="9" t="inlineStr">
        <is>
          <t xml:space="preserve">Drafted the M2 sections from the ADRs and pull requests, and the reading notes in the M1 sections</t>
        </is>
      </c>
      <c r="F19" s="9" t="inlineStr">
        <is>
          <t xml:space="preserve">Each section checked against its ADR; the M1 sections compared with v1.0 so that only the changes recorded in the v2.0 row differ; the built document rendered and checked; reviewed by Darius Mushi on #95</t>
        </is>
      </c>
      <c r="G19" s="9" t="inlineStr">
        <is>
          <t xml:space="preserve">Accepted after revision</t>
        </is>
      </c>
      <c r="H19" s="9" t="inlineStr">
        <is>
          <t xml:space="preserve">Darius Mushi's review found the cover contradicting s16 on the M1 sign-off, s8.3 conflicting with s22.2, a miscount in s19 and uncited facts in s20. All were corrected on 29 September 2026.</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Reviewing pull requests #88, #89, #90, #97, #98 and #99 (28 and 29 September 2026)</t>
        </is>
      </c>
      <c r="E20" s="9" t="inlineStr">
        <is>
          <t xml:space="preserve">Checked each pull request against the requirements, ADRs and cited sources, ran the bootstrap, and drafted the review text</t>
        </is>
      </c>
      <c r="F20" s="9" t="inlineStr">
        <is>
          <t xml:space="preserve">The bootstrap installed from clean and run on Node 24.14.0: npm test, the health endpoint and npm audit; each cited source opened; requirement claims checked against the workbook</t>
        </is>
      </c>
      <c r="G20" s="9" t="inlineStr">
        <is>
          <t xml:space="preserve">Accepted after revision</t>
        </is>
      </c>
      <c r="H20" s="9" t="inlineStr">
        <is>
          <t xml:space="preserve">A claim that the undeclared dotenv package would crash a production install was tested with npm ci --omit=dev, found wrong, and narrowed before the review was posted.</t>
        </is>
      </c>
    </row>
    <row r="21" customFormat="false" ht="142.8" hidden="false" customHeight="false" outlineLevel="0" collapsed="false">
      <c r="A21" s="9" t="inlineStr">
        <is>
          <t xml:space="preserve">28 September 2026</t>
        </is>
      </c>
      <c r="B21" s="9" t="inlineStr">
        <is>
          <t xml:space="preserve">Tristan Roets</t>
        </is>
      </c>
      <c r="C21" s="9" t="inlineStr">
        <is>
          <t xml:space="preserve">ChatGPT (OpenAI, GPT-5.6 Sol)</t>
        </is>
      </c>
      <c r="D21" s="9" t="inlineStr">
        <is>
          <t xml:space="preserve">DEC-011 / #58: data and persistence design</t>
        </is>
      </c>
      <c r="E21" s="9" t="inlineStr">
        <is>
          <t xml:space="preserve">Used as a review and drafting aid while I developed the data and persistence decision. It helped me organise parts of the ADR and check that I had covered the required areas.</t>
        </is>
      </c>
      <c r="F21" s="9" t="inlineStr">
        <is>
          <t xml:space="preserve">I checked the final design against FR-005 to FR-009, FR-011, FR-012, FR-017, FR-018, FR-020, FR-021, FR-025, FR-026, ADR-001, ADR-005 and ADR-006, including requester/category scope, ActionEntry visibility, status history and structured audit requirements.</t>
        </is>
      </c>
      <c r="G21"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1"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2" customFormat="false" ht="119.0"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#63: request status notification interface</t>
        </is>
      </c>
      <c r="E22" s="9" t="inlineStr">
        <is>
          <t xml:space="preserve">Used to help review and organise my notification-interface ADR and check that the main interface concerns were covered.</t>
        </is>
      </c>
      <c r="F22" s="9" t="inlineStr">
        <is>
          <t xml:space="preserve">I checked the final interface against FR-017, FR-029, DEC-005, SC-D-01, FEC-03, ADR-001, ADR-005, ADR-006 and ADR-007.</t>
        </is>
      </c>
      <c r="G22" s="9" t="inlineStr">
        <is>
          <t xml:space="preserve">I retained the in-process M2 notification interface, derived requester indications from persisted RequestStatusHistory and requester-visible ActionEntry evidence, and kept email/SMS and asynchronous external delivery deferred.</t>
        </is>
      </c>
      <c r="H22"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3" customFormat="false" ht="71.4"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#95/#99: PED v2.0 sections 21 and 23</t>
        </is>
      </c>
      <c r="E23" s="9" t="inlineStr">
        <is>
          <t xml:space="preserve">Used as a writing and checking aid while I converted my #58 and #63 work into shorter PED sections and followed the required Markdown format.</t>
        </is>
      </c>
      <c r="F23" s="9" t="inlineStr">
        <is>
          <t xml:space="preserve">I compared s21 with ADR-007 and s23 with ADR-008 to make sure the PED accurately summarised the underlying decisions without adding new ones.</t>
        </is>
      </c>
      <c r="G23" s="9" t="inlineStr">
        <is>
          <t xml:space="preserve">I wrote the final PED contribution and submitted it in #99.</t>
        </is>
      </c>
      <c r="H23"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4" customFormat="false" ht="83.3" hidden="false" customHeight="false" outlineLevel="0" collapsed="false">
      <c r="A24" s="9" t="inlineStr">
        <is>
          <t xml:space="preserve">29 September 2026</t>
        </is>
      </c>
      <c r="B24" s="9" t="inlineStr">
        <is>
          <t xml:space="preserve">Tristan Roets</t>
        </is>
      </c>
      <c r="C24" s="9" t="inlineStr">
        <is>
          <t xml:space="preserve">ChatGPT (OpenAI, GPT-5.6 Sol)</t>
        </is>
      </c>
      <c r="D24" s="9" t="inlineStr">
        <is>
          <t xml:space="preserve">#68: M2 risk, assumption and FEC review</t>
        </is>
      </c>
      <c r="E24" s="9" t="inlineStr">
        <is>
          <t xml:space="preserve">Used to help organise my review of which register entries were affected by the M2 work and to cross-check related issue and ADR references.</t>
        </is>
      </c>
      <c r="F24" s="9" t="inlineStr">
        <is>
          <t xml:space="preserve">I checked the proposed updates against the actual Risk Register descriptions, the relevant M2 ADR Risks created sections and current repository evidence, including the Prisma dependency finding.</t>
        </is>
      </c>
      <c r="G24" s="9" t="inlineStr">
        <is>
          <t xml:space="preserve">I determined which existing risks/FECs needed updated ratings or status and supplied Jean with the new ADR-created risk rows for the combined registers PR.</t>
        </is>
      </c>
      <c r="H24" s="9" t="inlineStr">
        <is>
          <t xml:space="preserve">My first pass linked several IDs to the wrong concerns. After checking the register, I corrected RSK-05, RSK-10, RSK-13 and FEC-07, kept FEC-01 only partly answered, rescored RSK-12 as materialised-active, and added the new ADR-created risks.</t>
        </is>
      </c>
    </row>
    <row r="25" customFormat="false" ht="95.2" hidden="false" customHeight="false" outlineLevel="0" collapsed="false">
      <c r="A25" s="9" t="inlineStr">
        <is>
          <t xml:space="preserve">21 September 2026</t>
        </is>
      </c>
      <c r="B25" s="9" t="inlineStr">
        <is>
          <t xml:space="preserve">Tristan Roets</t>
        </is>
      </c>
      <c r="C25" s="9" t="inlineStr">
        <is>
          <t xml:space="preserve">ChatGPT (OpenAI, GPT-5.6 Sol)</t>
        </is>
      </c>
      <c r="D25" s="9" t="inlineStr">
        <is>
          <t xml:space="preserve">Assignment 3 Question 3 / #76/#89: production readiness research (21 to 29 September 2026)</t>
        </is>
      </c>
      <c r="E25" s="9" t="inlineStr">
        <is>
          <t xml:space="preserve">Used as a research and writing aid to help organise my research, identify possible sources and review wording.</t>
        </is>
      </c>
      <c r="F25" s="9" t="inlineStr">
        <is>
          <t xml:space="preserve">I checked the technical claims against the sources used in my research, including Twelve-Factor, OWASP, GitHub Docs, Microsoft Learn, Google SRE and NIST.</t>
        </is>
      </c>
      <c r="G25" s="9" t="inlineStr">
        <is>
          <t xml:space="preserve">I selected the final content and sources and kept the research separate from actual CivicConnect M3 implementation decisions.</t>
        </is>
      </c>
      <c r="H25"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6" customFormat="false" ht="47.6" hidden="false" customHeight="false" outlineLevel="0" collapsed="false">
      <c r="A26" s="9" t="inlineStr">
        <is>
          <t xml:space="preserve">29 September 2026</t>
        </is>
      </c>
      <c r="B26" s="9" t="inlineStr">
        <is>
          <t xml:space="preserve">Jean Smit</t>
        </is>
      </c>
      <c r="C26" s="9" t="inlineStr">
        <is>
          <t xml:space="preserve">Claude Code (Anthropic)</t>
        </is>
      </c>
      <c r="D26" s="9" t="inlineStr">
        <is>
          <t xml:space="preserve">M2 register changes: RTM restructure, Decision Log, change requests, RSK-12 and this register (#54, #68, #70)</t>
        </is>
      </c>
      <c r="E26" s="9" t="inlineStr">
        <is>
          <t xml:space="preserve">Drafted the RTM mapping for 42 requirements, the Decision Log rows from the ADRs, and the change requests</t>
        </is>
      </c>
      <c r="F26"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6" s="9" t="inlineStr">
        <is>
          <t xml:space="preserve">Accepted after revision</t>
        </is>
      </c>
      <c r="H26" s="9" t="inlineStr">
        <is>
          <t xml:space="preserve">[To be completed by Jean Smit after review of this pull request.]</t>
        </is>
      </c>
    </row>
  </sheetData>
  <autoFilter ref="A2:H26"/>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Pending the M2 baseline sign-off (#69).</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The alternative, changing the Status Model and FR-021 to match the matrix, is the larger change and affects ADR-005.</t>
        </is>
      </c>
      <c r="P4" s="10" t="inlineStr">
        <is>
          <t xml:space="preserve">Pending the team decision at the M2 baseline sign-off (#69).</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Pending the M2 baseline sign-off (#69).</t>
        </is>
      </c>
    </row>
  </sheetData>
  <autoFilter ref="A2:P5"/>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s">
        <v>922</v>
      </c>
    </row>
    <row r="8" customFormat="false" ht="15" hidden="false" customHeight="false" outlineLevel="0" collapsed="false">
      <c r="A8" s="10" t="s">
        <v>923</v>
      </c>
      <c r="B8" s="10" t="s">
        <v>924</v>
      </c>
    </row>
    <row r="9" customFormat="false" ht="15" hidden="false" customHeight="false" outlineLevel="0" collapsed="false">
      <c r="A9" s="9" t="s">
        <v>925</v>
      </c>
      <c r="B9" s="9" t="s">
        <v>924</v>
      </c>
    </row>
    <row r="10" customFormat="false" ht="15" hidden="false" customHeight="false" outlineLevel="0" collapsed="false">
      <c r="A10" s="10" t="s">
        <v>926</v>
      </c>
      <c r="B10" s="10" t="s">
        <v>924</v>
      </c>
    </row>
    <row r="11" customFormat="false" ht="15" hidden="false" customHeight="false" outlineLevel="0" collapsed="false">
      <c r="A11" s="9" t="s">
        <v>927</v>
      </c>
      <c r="B11" s="9" t="s">
        <v>924</v>
      </c>
    </row>
    <row r="12" customFormat="false" ht="15" hidden="false" customHeight="false" outlineLevel="0" collapsed="false">
      <c r="A12" s="10" t="s">
        <v>928</v>
      </c>
      <c r="B12" s="10" t="s">
        <v>924</v>
      </c>
    </row>
    <row r="13" customFormat="false" ht="15" hidden="false" customHeight="false" outlineLevel="0" collapsed="false">
      <c r="A13" s="9" t="s">
        <v>929</v>
      </c>
      <c r="B13" s="9" t="s">
        <v>924</v>
      </c>
    </row>
    <row r="14" customFormat="false" ht="15" hidden="false" customHeight="false" outlineLevel="0" collapsed="false">
      <c r="A14" s="10" t="s">
        <v>930</v>
      </c>
      <c r="B14" s="10" t="s">
        <v>931</v>
      </c>
    </row>
    <row r="15" customFormat="false" ht="15" hidden="false" customHeight="false" outlineLevel="0" collapsed="false">
      <c r="A15" s="9" t="s">
        <v>932</v>
      </c>
      <c r="B15" s="12" t="s">
        <v>933</v>
      </c>
    </row>
    <row r="16" customFormat="false" ht="15" hidden="false" customHeight="false" outlineLevel="0" collapsed="false">
      <c r="A16" s="10" t="s">
        <v>1033</v>
      </c>
      <c r="B16" s="10" t="s">
        <v>935</v>
      </c>
    </row>
    <row r="17" customFormat="false" ht="15" hidden="false" customHeight="false" outlineLevel="0" collapsed="false">
      <c r="A17" s="9" t="s">
        <v>1034</v>
      </c>
      <c r="B17" s="9" t="s">
        <v>935</v>
      </c>
    </row>
    <row r="18" customFormat="false" ht="15" hidden="false" customHeight="false" outlineLevel="0" collapsed="false">
      <c r="A18" s="10" t="s">
        <v>1035</v>
      </c>
      <c r="B18" s="10" t="s">
        <v>935</v>
      </c>
    </row>
    <row r="19" customFormat="false" ht="15" hidden="false" customHeight="false" outlineLevel="0" collapsed="false">
      <c r="A19" s="9" t="s">
        <v>938</v>
      </c>
      <c r="B19" s="12" t="s">
        <v>933</v>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