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Register'!$A$2:$H$33</definedName>
    <definedName function="false" hidden="true" localSheetId="16" name="_xlnm._FilterDatabase" vbProcedure="false">'Baseline Sign-off'!$A$2:$B$19</definedName>
    <definedName function="false" hidden="true" localSheetId="11" name="_xlnm._FilterDatabase" vbProcedure="false">'Change Requests'!$A$2:$P$8</definedName>
    <definedName function="false" hidden="true" localSheetId="5" name="_xlnm._FilterDatabase" vbProcedure="false">Constraints!$A$2:$D$10</definedName>
    <definedName function="false" hidden="true" localSheetId="9" name="_xlnm._FilterDatabase" vbProcedure="false">'Decision Log'!$A$2:$L$19</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Register'!$A$2:$L$32</definedName>
    <definedName function="false" hidden="true" localSheetId="6" name="_xlnm._FilterDatabase" vbProcedure="false">RTM!$A$2:$T$44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<sst xmlns="http://schemas.openxmlformats.org/spreadsheetml/2006/main" count="1761" uniqueCount="1036">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</sst>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inlineStr">
        <is>
          <t xml:space="preserve">Jean Smit - 600368 | Tristan Roets - 601764 | Darius Mushi - 577982</t>
        </is>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18</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17</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22"/>
    <col collapsed="false" customWidth="true" hidden="false" outlineLevel="0" max="16" min="16" style="0" width="40"/>
    <col collapsed="false" customWidth="true" hidden="false" outlineLevel="0" max="17" min="17" style="0" width="34"/>
    <col collapsed="false" customWidth="true" hidden="false" outlineLevel="0" max="18" min="18" style="0" width="18"/>
    <col collapsed="false" customWidth="true" hidden="false" outlineLevel="0" max="19" min="19" style="0" width="60"/>
    <col collapsed="false" customWidth="true" hidden="false" outlineLevel="0" max="20" min="20"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From the Final (CR-006, #126), columns O to S give the M3 and final trace: the test cases from docs/quality/test-catalogue.md, the expected result written from the criterion, the execution evidence, the defects, and the status of each acceptance criterion in the requirement's row, counted per criterion as CR-006's approval asks (Met 1.0, Partially met 0.5, Not met 0.0). Scope Completion: 65 of 69 criteria, 94.2 percent, at the release tag (PED v4.0 s38).</t>
        </is>
      </c>
      <c r="B1" s="7"/>
      <c r="C1" s="7"/>
      <c r="D1" s="7"/>
      <c r="E1" s="7"/>
      <c r="F1" s="7"/>
      <c r="G1" s="7"/>
      <c r="H1" s="7"/>
      <c r="I1" s="7"/>
      <c r="J1" s="7"/>
      <c r="K1" s="7"/>
      <c r="L1" s="7"/>
      <c r="M1" s="7"/>
      <c r="N1" s="7"/>
      <c r="T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inlineStr">
        <is>
          <t xml:space="preserve">Test cases (M3 and Final)</t>
        </is>
      </c>
      <c r="P2" s="8" t="inlineStr">
        <is>
          <t xml:space="preserve">Expected result</t>
        </is>
      </c>
      <c r="Q2" s="8" t="inlineStr">
        <is>
          <t xml:space="preserve">Execution evidence</t>
        </is>
      </c>
      <c r="R2" s="8" t="inlineStr">
        <is>
          <t xml:space="preserve">Defects</t>
        </is>
      </c>
      <c r="S2" s="8" t="inlineStr">
        <is>
          <t xml:space="preserve">Acceptance criterion status (per criterion)</t>
        </is>
      </c>
      <c r="T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src/modules/identity-access (sign-in.js, session.js, http.js) and the client's sign-in (#130, #133), wired in src/app.js (#155)</t>
        </is>
      </c>
      <c r="M3" s="9" t="inlineStr">
        <is>
          <t xml:space="preserve">tests/identity-access.test.js (#130), tests/api-decision-table.test.js (#147), tests/api-postgres.test.js (#155), client/test/api-and-router.test.js (#133), e2e journeys (#138)</t>
        </is>
      </c>
      <c r="N3" s="9" t="inlineStr">
        <is>
          <t xml:space="preserve">RSK-05, RSK-01, ADR-002</t>
        </is>
      </c>
      <c r="O3" s="9" t="inlineStr">
        <is>
          <t xml:space="preserve">TC-08, TC-09, TC-10, TC-11, TC-23, TC-27, TC-32, TC-33</t>
        </is>
      </c>
      <c r="P3" s="9" t="inlineStr">
        <is>
          <t xml:space="preserve">No request data without a session and the visitor is sent to sign in; valid credentials give a session; every failed sign-in gets one answer that reveals nothing.</t>
        </is>
      </c>
      <c r="Q3" s="9" t="inlineStr">
        <is>
          <t xml:space="preserve">Pass on main at the release tag (PED v4.0 s40.2); records in docs/quality/test-catalogue.md</t>
        </is>
      </c>
      <c r="R3" s="9" t="inlineStr">
        <is>
          <t xml:space="preserve">DEF-001 (fixed)</t>
        </is>
      </c>
      <c r="S3" s="9" t="inlineStr">
        <is>
          <t xml:space="preserve">3 of 3. AC1. unauthenticated: no data, redirected to sign-in: Met. 401 with no data (TC-23, TC-32); the client sends the visitor to sign in (TC-27) AC2. valid credentials: a session: Met. TC-10, TC-32, TC-33 AC3. invalid credentials: one generic message: Met. TC-09, TC-32</t>
        </is>
      </c>
      <c r="T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#136) and requirePermission in identity-access/http.js (#130)</t>
        </is>
      </c>
      <c r="M4" s="10" t="inlineStr">
        <is>
          <t xml:space="preserve">tests/authorisation-policy.test.js (#94), tests/api-decision-table.test.js (#147), tests/api-postgres.test.js (#155)</t>
        </is>
      </c>
      <c r="N4" s="10" t="inlineStr">
        <is>
          <t xml:space="preserve">RSK-05, FEC-01, ADR-006, CR-002 (#92)</t>
        </is>
      </c>
      <c r="O4" s="10" t="inlineStr">
        <is>
          <t xml:space="preserve">TC-01, TC-11, TC-22, TC-32</t>
        </is>
      </c>
      <c r="P4" s="10" t="inlineStr">
        <is>
          <t xml:space="preserve">Every role and function pair in the Access Matrix is permitted or refused as the register says, also when called directly at the endpoint.</t>
        </is>
      </c>
      <c r="Q4" s="10" t="inlineStr">
        <is>
          <t xml:space="preserve">Pass on main at the release tag (PED v4.0 s40.2); records in docs/quality/test-catalogue.md</t>
        </is>
      </c>
      <c r="R4" s="10" t="inlineStr">
        <is>
          <t xml:space="preserve">DEF-002 to DEF-005 (fixed by CR-002)</t>
        </is>
      </c>
      <c r="S4" s="10" t="inlineStr">
        <is>
          <t xml:space="preserve">1 of 1. AC1. every pair permitted or refused, directly at the endpoint: Met. TC-01 all 60 cells; TC-22: 56 cells through their own endpoint, editAuditEntry's 4 at the permission check, since FR-026 forbids an endpoint</t>
        </is>
      </c>
      <c r="T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src/modules/administration (#155)</t>
        </is>
      </c>
      <c r="M5" s="9" t="inlineStr">
        <is>
          <t xml:space="preserve">tests/administration.test.js, tests/api-postgres.test.js (#155)</t>
        </is>
      </c>
      <c r="N5" s="9" t="inlineStr">
        <is>
          <t xml:space="preserve">ADR-007</t>
        </is>
      </c>
      <c r="O5" s="9" t="inlineStr">
        <is>
          <t xml:space="preserve">TC-43, TC-32, TC-31</t>
        </is>
      </c>
      <c r="P5" s="9" t="inlineStr">
        <is>
          <t xml:space="preserve">A Manager's new account authenticates with only its role's permissions; anyone else is refused.</t>
        </is>
      </c>
      <c r="Q5" s="9" t="inlineStr">
        <is>
          <t xml:space="preserve">Pass on main at the release tag (PED v4.0 s40.2); records in docs/quality/test-catalogue.md</t>
        </is>
      </c>
      <c r="R5" s="9" t="inlineStr">
        <is>
          <t xml:space="preserve">DEF-011 (fixed)</t>
        </is>
      </c>
      <c r="S5" s="9" t="inlineStr">
        <is>
          <t xml:space="preserve">2 of 2. AC1. Manager creates an account: it authenticates with only that role: Met. TC-43; TC-32 from the setup code to sign-in AC2. a non-Manager is refused: Met. TC-43, TC-22</t>
        </is>
      </c>
      <c r="T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src/modules/identity-access/reset.js and concurrency.js (#146, #153); Manager-assisted, since email is deferred (SC-D-01)</t>
        </is>
      </c>
      <c r="M6" s="10" t="inlineStr">
        <is>
          <t xml:space="preserve">tests/password-reset.test.js (#146, #153), tests/api-postgres.test.js (#155)</t>
        </is>
      </c>
      <c r="N6" s="10" t="inlineStr">
        <is>
          <t xml:space="preserve">RSK-05</t>
        </is>
      </c>
      <c r="O6" s="10" t="inlineStr">
        <is>
          <t xml:space="preserve">TC-36, TC-32, TC-44</t>
        </is>
      </c>
      <c r="P6" s="10" t="inlineStr">
        <is>
          <t xml:space="preserve">One answer whatever the identifier; a reset credential works once and expires.</t>
        </is>
      </c>
      <c r="Q6" s="10" t="inlineStr">
        <is>
          <t xml:space="preserve">Pass on main at the release tag (PED v4.0 s40.2); records in docs/quality/test-catalogue.md</t>
        </is>
      </c>
      <c r="R6" s="10" t="inlineStr">
        <is>
          <t xml:space="preserve">None</t>
        </is>
      </c>
      <c r="S6" s="10" t="inlineStr">
        <is>
          <t xml:space="preserve">1 of 2. AC1. same message whether or not the account exists: Partially met. every failed reset gets one answer and a dummy check (TC-36), but there is no self-service reset request, because the reset is Manager-assisted AC2. a reset link is single-use and expires: Partially met. the Manager-issued code that replaces the link is single-use, expires after 24 hours and is withdrawn after five wrong tries (TC-36, TC-32); there is no link. Not changed through a change request (PED s29 item 6)</t>
        </is>
      </c>
      <c r="T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src/modules/request-capture (#131), client submit screen (#133)</t>
        </is>
      </c>
      <c r="M7" s="9" t="inlineStr">
        <is>
          <t xml:space="preserve">tests/request-submission.test.js (#131), tests/api-postgres.test.js (#155), e2e (#138)</t>
        </is>
      </c>
      <c r="N7" s="9" t="inlineStr">
        <is>
          <t xml:space="preserve">ADR-007</t>
        </is>
      </c>
      <c r="O7" s="9" t="inlineStr">
        <is>
          <t xml:space="preserve">TC-14, TC-15, TC-32, TC-33</t>
        </is>
      </c>
      <c r="P7" s="9" t="inlineStr">
        <is>
          <t xml:space="preserve">A complete submission is saved as New, appears in the requester's list, and every field shows unchanged.</t>
        </is>
      </c>
      <c r="Q7" s="9" t="inlineStr">
        <is>
          <t xml:space="preserve">Pass on main at the release tag (PED v4.0 s40.2); records in docs/quality/test-catalogue.md</t>
        </is>
      </c>
      <c r="R7" s="9" t="inlineStr">
        <is>
          <t xml:space="preserve">None</t>
        </is>
      </c>
      <c r="S7" s="9" t="inlineStr">
        <is>
          <t xml:space="preserve">2 of 2. AC1. persisted as New and in the requester's list: Met. TC-14, TC-32, TC-33 AC2. every field displayed unchanged on the detail: Met. TC-33, TC-15</t>
        </is>
      </c>
      <c r="T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request-capture/validation.js (#131), categories.activeIds and listActive (#155), administration (#155)</t>
        </is>
      </c>
      <c r="M8" s="10" t="inlineStr">
        <is>
          <t xml:space="preserve">tests/request-submission.test.js, tests/api-submission-boundaries.test.js (#147), tests/api-postgres.test.js</t>
        </is>
      </c>
      <c r="N8" s="10" t="inlineStr">
        <is>
          <t xml:space="preserve">FEC-02, ADR-007</t>
        </is>
      </c>
      <c r="O8" s="10" t="inlineStr">
        <is>
          <t xml:space="preserve">TC-13, TC-26, TC-43, TC-32</t>
        </is>
      </c>
      <c r="P8" s="10" t="inlineStr">
        <is>
          <t xml:space="preserve">Only active categories are offered, and any other value is refused, also directly at the endpoint.</t>
        </is>
      </c>
      <c r="Q8" s="10" t="inlineStr">
        <is>
          <t xml:space="preserve">Pass on main at the release tag (PED v4.0 s40.2); records in docs/quality/test-catalogue.md</t>
        </is>
      </c>
      <c r="R8" s="10" t="inlineStr">
        <is>
          <t xml:space="preserve">None</t>
        </is>
      </c>
      <c r="S8" s="10" t="inlineStr">
        <is>
          <t xml:space="preserve">2 of 2. AC1. only active categories offered: Met. GET /api/categories lists active ones; a deactivated category disappears from it (TC-32, TC-43) AC2. any other value refused, also directly: Met. TC-13, TC-26, TC-32; also when deactivated during the submission</t>
        </is>
      </c>
      <c r="T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request-capture/validation.js and src/shared/text.js (#131), client submit screen (#133)</t>
        </is>
      </c>
      <c r="M9" s="9" t="inlineStr">
        <is>
          <t xml:space="preserve">tests/request-submission.test.js, tests/api-submission-boundaries.test.js, tests/api-input-partitions.test.js (#147), e2e (#138, #157)</t>
        </is>
      </c>
      <c r="N9" s="9" t="inlineStr">
        <is>
          <t xml:space="preserve">ADR-007</t>
        </is>
      </c>
      <c r="O9" s="9" t="inlineStr">
        <is>
          <t xml:space="preserve">TC-13, TC-25, TC-26, TC-37, TC-32, TC-33</t>
        </is>
      </c>
      <c r="P9" s="9" t="inlineStr">
        <is>
          <t xml:space="preserve">An invalid submission saves nothing, names each failing field, and keeps what was typed.</t>
        </is>
      </c>
      <c r="Q9" s="9" t="inlineStr">
        <is>
          <t xml:space="preserve">Pass on main at the release tag (PED v4.0 s40.2); records in docs/quality/test-catalogue.md</t>
        </is>
      </c>
      <c r="R9" s="9" t="inlineStr">
        <is>
          <t xml:space="preserve">DEF-006, DEF-007 (fixed)</t>
        </is>
      </c>
      <c r="S9" s="9" t="inlineStr">
        <is>
          <t xml:space="preserve">1 of 1. AC1. not persisted, each failing field named, values retained: Met. TC-13, TC-25, TC-26, TC-37; TC-33 checks the typed values stay (#157)</t>
        </is>
      </c>
      <c r="T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request-capture/reference.js (#131), request_reference_seq and the unique constraint (#109, #155)</t>
        </is>
      </c>
      <c r="M10" s="10" t="inlineStr">
        <is>
          <t xml:space="preserve">tests/request-submission.test.js (#131), tests/api-postgres.test.js (#155), e2e (#138)</t>
        </is>
      </c>
      <c r="N10" s="10" t="inlineStr">
        <is>
          <t xml:space="preserve">DEC-004, ADR-007</t>
        </is>
      </c>
      <c r="O10" s="10" t="inlineStr">
        <is>
          <t xml:space="preserve">TC-12, TC-32, TC-33</t>
        </is>
      </c>
      <c r="P10" s="10" t="inlineStr">
        <is>
          <t xml:space="preserve">Every reference matches CC-dddd-dddd, is unique, never reissued, and shows on every view.</t>
        </is>
      </c>
      <c r="Q10" s="10" t="inlineStr">
        <is>
          <t xml:space="preserve">Pass on main at the release tag (PED v4.0 s40.2); records in docs/quality/test-catalogue.md</t>
        </is>
      </c>
      <c r="R10" s="10" t="inlineStr">
        <is>
          <t xml:space="preserve">None</t>
        </is>
      </c>
      <c r="S10" s="10" t="inlineStr">
        <is>
          <t xml:space="preserve">4 of 4. AC1. matches the agreed format (DEC-017): Met. TC-12, TC-32, TC-33 AC2. two requests never share a reference: Met. keyed permutation of the sequence under a unique constraint (TC-12, TC-32) AC3. not reissued after deletion or archiving: Met. nothing deletes a request, and the sequence never reuses a value (TC-12) AC4. shown on submission and every later view: Met. TC-33, TC-34</t>
        </is>
      </c>
      <c r="T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request-capture/http.js (#131), client acknowledgement (#133)</t>
        </is>
      </c>
      <c r="M11" s="9" t="inlineStr">
        <is>
          <t xml:space="preserve">tests/request-submission.test.js, e2e (#138)</t>
        </is>
      </c>
      <c r="N11" s="9" t="inlineStr">
        <is>
          <t xml:space="preserve">ADR-007</t>
        </is>
      </c>
      <c r="O11" s="9" t="inlineStr">
        <is>
          <t xml:space="preserve">TC-14, TC-33</t>
        </is>
      </c>
      <c r="P11" s="9" t="inlineStr">
        <is>
          <t xml:space="preserve">The acknowledgement holds the reference and recorded time, the same as the detail.</t>
        </is>
      </c>
      <c r="Q11" s="9" t="inlineStr">
        <is>
          <t xml:space="preserve">Pass on main at the release tag (PED v4.0 s40.2); records in docs/quality/test-catalogue.md</t>
        </is>
      </c>
      <c r="R11" s="9" t="inlineStr">
        <is>
          <t xml:space="preserve">None</t>
        </is>
      </c>
      <c r="S11" s="9" t="inlineStr">
        <is>
          <t xml:space="preserve">1 of 1. AC1. reference and timestamp, the same on the detail: Met. TC-14, TC-33</t>
        </is>
      </c>
      <c r="T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request-access/views.js (#131), client list (#133)</t>
        </is>
      </c>
      <c r="M12" s="10" t="inlineStr">
        <is>
          <t xml:space="preserve">tests/request-submission.test.js, e2e (#138)</t>
        </is>
      </c>
      <c r="N12" s="10" t="inlineStr">
        <is>
          <t xml:space="preserve">ADR-006</t>
        </is>
      </c>
      <c r="O12" s="10" t="inlineStr">
        <is>
          <t xml:space="preserve">TC-15, TC-33, TC-32</t>
        </is>
      </c>
      <c r="P12" s="10" t="inlineStr">
        <is>
          <t xml:space="preserve">Every own request once with six fields, and nobody else's.</t>
        </is>
      </c>
      <c r="Q12" s="10" t="inlineStr">
        <is>
          <t xml:space="preserve">Pass on main at the release tag (PED v4.0 s40.2); records in docs/quality/test-catalogue.md</t>
        </is>
      </c>
      <c r="R12" s="10" t="inlineStr">
        <is>
          <t xml:space="preserve">None</t>
        </is>
      </c>
      <c r="S12" s="10" t="inlineStr">
        <is>
          <t xml:space="preserve">1 of 1. AC1. every own request once, six fields, none of another's: Met. TC-15, TC-32, TC-33</t>
        </is>
      </c>
      <c r="T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request-access/views.js (#131, #155)</t>
        </is>
      </c>
      <c r="M13" s="9" t="inlineStr">
        <is>
          <t xml:space="preserve">tests/request-submission.test.js, tests/api-postgres.test.js, e2e</t>
        </is>
      </c>
      <c r="N13" s="9" t="inlineStr">
        <is>
          <t xml:space="preserve">RSK-05, FEC-01, DEC-003, ADR-006</t>
        </is>
      </c>
      <c r="O13" s="9" t="inlineStr">
        <is>
          <t xml:space="preserve">TC-03, TC-15, TC-32, TC-34</t>
        </is>
      </c>
      <c r="P13" s="9" t="inlineStr">
        <is>
          <t xml:space="preserve">Fields, ordered history and only requester-visible entries, with no internal entry in the payload.</t>
        </is>
      </c>
      <c r="Q13" s="9" t="inlineStr">
        <is>
          <t xml:space="preserve">Pass on main at the release tag (PED v4.0 s40.2); records in docs/quality/test-catalogue.md</t>
        </is>
      </c>
      <c r="R13" s="9" t="inlineStr">
        <is>
          <t xml:space="preserve">DEF-009 (fixed)</t>
        </is>
      </c>
      <c r="S13" s="9" t="inlineStr">
        <is>
          <t xml:space="preserve">2 of 2. AC1. fields, ordered history with times, visible entries only: Met. TC-15, TC-34 AC2. no internal entry in the payload: Met. TC-03, TC-32, also when the store ignores the condition</t>
        </is>
      </c>
      <c r="T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policy.js scopedWhere (#94), used by every lookup (#131, #155)</t>
        </is>
      </c>
      <c r="M14" s="10" t="inlineStr">
        <is>
          <t xml:space="preserve">tests/authorisation-policy.test.js, tests/request-submission.test.js, tests/api-decision-table.test.js (#147), tests/api-postgres.test.js</t>
        </is>
      </c>
      <c r="N14" s="10" t="inlineStr">
        <is>
          <t xml:space="preserve">RSK-05, FEC-01, ADR-006</t>
        </is>
      </c>
      <c r="O14" s="10" t="inlineStr">
        <is>
          <t xml:space="preserve">TC-02, TC-15, TC-22, TC-23, TC-32</t>
        </is>
      </c>
      <c r="P14" s="10" t="inlineStr">
        <is>
          <t xml:space="preserve">Another requester's record is refused with the same answer as a missing one, through any route.</t>
        </is>
      </c>
      <c r="Q14" s="10" t="inlineStr">
        <is>
          <t xml:space="preserve">Pass on main at the release tag (PED v4.0 s40.2); records in docs/quality/test-catalogue.md</t>
        </is>
      </c>
      <c r="R14" s="10" t="inlineStr">
        <is>
          <t xml:space="preserve">None</t>
        </is>
      </c>
      <c r="S14" s="10" t="inlineStr">
        <is>
          <t xml:space="preserve">1 of 1. AC1. access refused, no field disclosed, any route: Met. same 404 as a missing reference, in PostgreSQL too (TC-32)</t>
        </is>
      </c>
      <c r="T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src/modules/queue (#141, #155)</t>
        </is>
      </c>
      <c r="M15" s="9" t="inlineStr">
        <is>
          <t xml:space="preserve">tests/queue.test.js, tests/api-decision-table.test.js (#147), tests/api-postgres.test.js</t>
        </is>
      </c>
      <c r="N15" s="9" t="inlineStr">
        <is>
          <t xml:space="preserve">FEC-01, ADR-006</t>
        </is>
      </c>
      <c r="O15" s="9" t="inlineStr">
        <is>
          <t xml:space="preserve">TC-40, TC-22, TC-32, TC-34</t>
        </is>
      </c>
      <c r="P15" s="9" t="inlineStr">
        <is>
          <t xml:space="preserve">Staff see every open request in their categories and none outside; a Coordinator sees all.</t>
        </is>
      </c>
      <c r="Q15" s="9" t="inlineStr">
        <is>
          <t xml:space="preserve">Pass on main at the release tag (PED v4.0 s40.2); records in docs/quality/test-catalogue.md</t>
        </is>
      </c>
      <c r="R15" s="9" t="inlineStr">
        <is>
          <t xml:space="preserve">None</t>
        </is>
      </c>
      <c r="S15" s="9" t="inlineStr">
        <is>
          <t xml:space="preserve">2 of 2. AC1. Staff: every open request in their categories, none outside: Met. TC-40, TC-22 scope cases, TC-32 AC2. a Coordinator sees all categories: Met. TC-40, TC-32</t>
        </is>
      </c>
      <c r="T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queue/validation.js and service.js (#141, #155), client queue filters (#134)</t>
        </is>
      </c>
      <c r="M16" s="10" t="inlineStr">
        <is>
          <t xml:space="preserve">tests/queue.test.js, client/test/staff-screens.test.js, tests/api-postgres.test.js</t>
        </is>
      </c>
      <c r="N16" s="10" t="inlineStr">
        <is>
          <t xml:space="preserve">FEC-06, ADR-007</t>
        </is>
      </c>
      <c r="O16" s="10" t="inlineStr">
        <is>
          <t xml:space="preserve">TC-40, TC-29, TC-32</t>
        </is>
      </c>
      <c r="P16" s="10" t="inlineStr">
        <is>
          <t xml:space="preserve">Each search, filter and sort returns only matching records, filters combine, and an empty result is reported as such.</t>
        </is>
      </c>
      <c r="Q16" s="10" t="inlineStr">
        <is>
          <t xml:space="preserve">Pass on main at the release tag (PED v4.0 s40.2); records in docs/quality/test-catalogue.md</t>
        </is>
      </c>
      <c r="R16" s="10" t="inlineStr">
        <is>
          <t xml:space="preserve">None</t>
        </is>
      </c>
      <c r="S16" s="10" t="inlineStr">
        <is>
          <t xml:space="preserve">1 of 1. AC1. each search, filter and sort correct, combining, empty reported: Met. TC-40, TC-29, TC-32 (priority sorts in PostgreSQL)</t>
        </is>
      </c>
      <c r="T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workflow-status/service.js (#132), assignable staff (#155)</t>
        </is>
      </c>
      <c r="M17" s="9" t="inlineStr">
        <is>
          <t xml:space="preserve">tests/workflow-service.test.js, tests/api-decision-table.test.js, tests/api-input-partitions.test.js (#147), tests/api-postgres.test.js, e2e</t>
        </is>
      </c>
      <c r="N17" s="9" t="inlineStr">
        <is>
          <t xml:space="preserve">ADR-005, ADR-006, CR-002 (#92)</t>
        </is>
      </c>
      <c r="O17" s="9" t="inlineStr">
        <is>
          <t xml:space="preserve">TC-16, TC-22, TC-37, TC-32, TC-34</t>
        </is>
      </c>
      <c r="P17" s="9" t="inlineStr">
        <is>
          <t xml:space="preserve">Assignment is recorded and the request reaches the assignee's queue; Staff accepting become the assignee; Staff cannot assign.</t>
        </is>
      </c>
      <c r="Q17" s="9" t="inlineStr">
        <is>
          <t xml:space="preserve">Pass on main at the release tag (PED v4.0 s40.2); records in docs/quality/test-catalogue.md</t>
        </is>
      </c>
      <c r="R17" s="9" t="inlineStr">
        <is>
          <t xml:space="preserve">DEF-003, DEF-008, DEF-010 (fixed)</t>
        </is>
      </c>
      <c r="S17" s="9" t="inlineStr">
        <is>
          <t xml:space="preserve">3 of 3. AC1. Coordinator assigns: recorded, in the assignee's queue: Met. TC-16, TC-32, TC-34 AC2. Staff accept an unassigned request in scope and become the assignee: Met. TC-16, TC-22 scope cases AC3. Staff cannot assign to another user: Met. TC-22</t>
        </is>
      </c>
      <c r="T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workflow-status/transition-table.js and service.js (#93, #132)</t>
        </is>
      </c>
      <c r="M18" s="10" t="inlineStr">
        <is>
          <t xml:space="preserve">tests/workflow-status.test.js, tests/api-state-transitions.test.js (#147), tests/api-postgres.test.js</t>
        </is>
      </c>
      <c r="N18" s="10" t="inlineStr">
        <is>
          <t xml:space="preserve">RSK-09, FEC-02, ADR-001, ADR-005, ADR-006, CR-002 (#92)</t>
        </is>
      </c>
      <c r="O18" s="10" t="inlineStr">
        <is>
          <t xml:space="preserve">TC-05, TC-06, TC-07, TC-24, TC-32</t>
        </is>
      </c>
      <c r="P18" s="10" t="inlineStr">
        <is>
          <t xml:space="preserve">Every allowed move succeeds for an authorised role, every other is refused, directly too, leaving the status unchanged.</t>
        </is>
      </c>
      <c r="Q18" s="10" t="inlineStr">
        <is>
          <t xml:space="preserve">Pass on main at the release tag (PED v4.0 s40.2); records in docs/quality/test-catalogue.md</t>
        </is>
      </c>
      <c r="R18" s="10" t="inlineStr">
        <is>
          <t xml:space="preserve">None</t>
        </is>
      </c>
      <c r="S18" s="10" t="inlineStr">
        <is>
          <t xml:space="preserve">2 of 2. AC1. allowed moves succeed, others refused, directly too: Met. TC-05 against the register, TC-24 every pair through the endpoint AC2. a refused move leaves the status unchanged: Met. TC-24; TC-32 for two concurrent moves</t>
        </is>
      </c>
      <c r="T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workflow-status/service.js recordActionEntry (#132)</t>
        </is>
      </c>
      <c r="M19" s="9" t="inlineStr">
        <is>
          <t xml:space="preserve">tests/workflow-service.test.js, tests/api-postgres.test.js, e2e</t>
        </is>
      </c>
      <c r="N19" s="9" t="inlineStr">
        <is>
          <t xml:space="preserve">RSK-05, DEC-003, ADR-006</t>
        </is>
      </c>
      <c r="O19" s="9" t="inlineStr">
        <is>
          <t xml:space="preserve">TC-20, TC-32, TC-34</t>
        </is>
      </c>
      <c r="P19" s="9" t="inlineStr">
        <is>
          <t xml:space="preserve">An entry is stored with author, time and visibility, and visibility has no default.</t>
        </is>
      </c>
      <c r="Q19" s="9" t="inlineStr">
        <is>
          <t xml:space="preserve">Pass on main at the release tag (PED v4.0 s40.2); records in docs/quality/test-catalogue.md</t>
        </is>
      </c>
      <c r="R19" s="9" t="inlineStr">
        <is>
          <t xml:space="preserve">None</t>
        </is>
      </c>
      <c r="S19" s="9" t="inlineStr">
        <is>
          <t xml:space="preserve">2 of 2. AC1. stored with author, timestamp and visibility: Met. TC-20, TC-32 AC2. visibility chosen explicitly, no default: Met. TC-20, TC-32 (no choice answers 400)</t>
        </is>
      </c>
      <c r="T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transition-table.js guard, service.js (#93, #132)</t>
        </is>
      </c>
      <c r="M20" s="10" t="inlineStr">
        <is>
          <t xml:space="preserve">tests/workflow-service.test.js, tests/api-postgres.test.js, e2e</t>
        </is>
      </c>
      <c r="N20" s="10" t="inlineStr">
        <is>
          <t xml:space="preserve">ADR-005</t>
        </is>
      </c>
      <c r="O20" s="10" t="inlineStr">
        <is>
          <t xml:space="preserve">TC-17, TC-32, TC-34</t>
        </is>
      </c>
      <c r="P20" s="10" t="inlineStr">
        <is>
          <t xml:space="preserve">Resolving without a summary is refused; the summary is stored and shown to the requester.</t>
        </is>
      </c>
      <c r="Q20" s="10" t="inlineStr">
        <is>
          <t xml:space="preserve">Pass on main at the release tag (PED v4.0 s40.2); records in docs/quality/test-catalogue.md</t>
        </is>
      </c>
      <c r="R20" s="10" t="inlineStr">
        <is>
          <t xml:space="preserve">None</t>
        </is>
      </c>
      <c r="S20" s="10" t="inlineStr">
        <is>
          <t xml:space="preserve">2 of 2. AC1. refused without a summary: Met. TC-17, TC-32 AC2. stored and requester-visible: Met. TC-32, TC-34</t>
        </is>
      </c>
      <c r="T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transition-table.js (#93), service.js (#132)</t>
        </is>
      </c>
      <c r="M21" s="9" t="inlineStr">
        <is>
          <t xml:space="preserve">tests/workflow-service.test.js, tests/api-postgres.test.js, e2e</t>
        </is>
      </c>
      <c r="N21" s="9" t="inlineStr">
        <is>
          <t xml:space="preserve">ADR-005</t>
        </is>
      </c>
      <c r="O21" s="9" t="inlineStr">
        <is>
          <t xml:space="preserve">TC-17, TC-22, TC-32, TC-34</t>
        </is>
      </c>
      <c r="P21" s="9" t="inlineStr">
        <is>
          <t xml:space="preserve">Coordinators and Managers close a Resolved request; Staff and Requesters are refused; closing is audited.</t>
        </is>
      </c>
      <c r="Q21" s="9" t="inlineStr">
        <is>
          <t xml:space="preserve">Pass on main at the release tag (PED v4.0 s40.2); records in docs/quality/test-catalogue.md</t>
        </is>
      </c>
      <c r="R21" s="9" t="inlineStr">
        <is>
          <t xml:space="preserve">None</t>
        </is>
      </c>
      <c r="S21" s="9" t="inlineStr">
        <is>
          <t xml:space="preserve">3 of 3. AC1. Coordinator or Manager can close: Met. TC-17, TC-32, TC-34 AC2. Staff or Requester refused: Met. TC-22, TC-32 AC3. closing audited: Met. TC-18, TC-32 row by row</t>
        </is>
      </c>
      <c r="T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transition-table.js guard (#93), service.js (#132), views.js (#155)</t>
        </is>
      </c>
      <c r="M22" s="10" t="inlineStr">
        <is>
          <t xml:space="preserve">tests/workflow-service.test.js, tests/request-submission.test.js, tests/api-postgres.test.js</t>
        </is>
      </c>
      <c r="N22" s="10" t="inlineStr">
        <is>
          <t xml:space="preserve">ADR-005, ADR-006, CR-002 (#92)</t>
        </is>
      </c>
      <c r="O22" s="10" t="inlineStr">
        <is>
          <t xml:space="preserve">TC-17, TC-15, TC-32</t>
        </is>
      </c>
      <c r="P22" s="10" t="inlineStr">
        <is>
          <t xml:space="preserve">Rejection needs a reason; the reason is stored, shown to the requester, and the event audited.</t>
        </is>
      </c>
      <c r="Q22" s="10" t="inlineStr">
        <is>
          <t xml:space="preserve">Pass on main at the release tag (PED v4.0 s40.2); records in docs/quality/test-catalogue.md</t>
        </is>
      </c>
      <c r="R22" s="10" t="inlineStr">
        <is>
          <t xml:space="preserve">DEF-004, DEF-009 (fixed)</t>
        </is>
      </c>
      <c r="S22" s="10" t="inlineStr">
        <is>
          <t xml:space="preserve">2 of 2. AC1. refused without a reason: Met. TC-17 AC2. Rejected, reason stored, on the requester's detail, audited: Met. TC-15, TC-32 since DEF-009 was fixed</t>
        </is>
      </c>
      <c r="T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service.js setPriority (#132), policy.js (#94), views.js (#131)</t>
        </is>
      </c>
      <c r="M23" s="9" t="inlineStr">
        <is>
          <t xml:space="preserve">tests/workflow-service.test.js, tests/api-decision-table.test.js, tests/api-postgres.test.js, e2e</t>
        </is>
      </c>
      <c r="N23" s="9" t="inlineStr">
        <is>
          <t xml:space="preserve">DEC-002, ADR-006, CR-002 (#92)</t>
        </is>
      </c>
      <c r="O23" s="9" t="inlineStr">
        <is>
          <t xml:space="preserve">TC-19, TC-22, TC-32, TC-34</t>
        </is>
      </c>
      <c r="P23" s="9" t="inlineStr">
        <is>
          <t xml:space="preserve">Urgency is the requester's and unchanged; priority is absent until a Coordinator sets it; others are refused; Coordinators see both.</t>
        </is>
      </c>
      <c r="Q23" s="9" t="inlineStr">
        <is>
          <t xml:space="preserve">Pass on main at the release tag (PED v4.0 s40.2); records in docs/quality/test-catalogue.md</t>
        </is>
      </c>
      <c r="R23" s="9" t="inlineStr">
        <is>
          <t xml:space="preserve">DEF-005 (fixed)</t>
        </is>
      </c>
      <c r="S23" s="9" t="inlineStr">
        <is>
          <t xml:space="preserve">4 of 4. AC1. urgency captured, not editable by staff: Met. TC-19, TC-34 AC2. priority absent until a Coordinator sets it: Met. TC-19, TC-34 AC3. Requester or Staff refused: Met. TC-22, TC-32 AC4. both visible to Coordinators: Met. TC-34, TC-40</t>
        </is>
      </c>
      <c r="T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src/modules/reports (#143, #155)</t>
        </is>
      </c>
      <c r="M24" s="10" t="inlineStr">
        <is>
          <t xml:space="preserve">tests/reports.test.js, tests/api-decision-table.test.js, tests/api-postgres.test.js, client/test/manager-screens.test.js</t>
        </is>
      </c>
      <c r="N24" s="10" t="inlineStr">
        <is>
          <t xml:space="preserve">RSK-09, FEC-02, FEC-06, ADR-001</t>
        </is>
      </c>
      <c r="O24" s="10" t="inlineStr">
        <is>
          <t xml:space="preserve">TC-42, TC-30, TC-32</t>
        </is>
      </c>
      <c r="P24" s="10" t="inlineStr">
        <is>
          <t xml:space="preserve">Each count equals the value worked out by hand from the seeded data, overdue using the one organisation-wide target.</t>
        </is>
      </c>
      <c r="Q24" s="10" t="inlineStr">
        <is>
          <t xml:space="preserve">Pass on main at the release tag (PED v4.0 s40.2); records in docs/quality/test-catalogue.md</t>
        </is>
      </c>
      <c r="R24" s="10" t="inlineStr">
        <is>
          <t xml:space="preserve">None</t>
        </is>
      </c>
      <c r="S24" s="10" t="inlineStr">
        <is>
          <t xml:space="preserve">1.5 of 2. AC1. each count equals the independent calculation: Met. TC-42 worked examples, including an age equal to the target AC2. overdue uses the single organisation-wide target defined in the status model: Partially met. one organisation-wide target is used, but it is configuration (OVERDUE_TARGET_DAYS), because the Status Model register defines none (FEC-02)</t>
        </is>
      </c>
      <c r="T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reports/service.js (#143, #155)</t>
        </is>
      </c>
      <c r="M25" s="9" t="inlineStr">
        <is>
          <t xml:space="preserve">tests/reports.test.js, tests/api-postgres.test.js</t>
        </is>
      </c>
      <c r="N25" s="9" t="inlineStr">
        <is>
          <t xml:space="preserve">FEC-06, ADR-001</t>
        </is>
      </c>
      <c r="O25" s="9" t="inlineStr">
        <is>
          <t xml:space="preserve">TC-42, TC-30, TC-32</t>
        </is>
      </c>
      <c r="P25" s="9" t="inlineStr">
        <is>
          <t xml:space="preserve">The breakdown reconciles exactly to the totals.</t>
        </is>
      </c>
      <c r="Q25" s="9" t="inlineStr">
        <is>
          <t xml:space="preserve">Pass on main at the release tag (PED v4.0 s40.2); records in docs/quality/test-catalogue.md</t>
        </is>
      </c>
      <c r="R25" s="9" t="inlineStr">
        <is>
          <t xml:space="preserve">None</t>
        </is>
      </c>
      <c r="S25" s="9" t="inlineStr">
        <is>
          <t xml:space="preserve">1 of 1. AC1. breakdown reconciles to FR-022's totals: Met. TC-42, TC-32</t>
        </is>
      </c>
      <c r="T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reports/service.js (#143, #155)</t>
        </is>
      </c>
      <c r="M26" s="10" t="inlineStr">
        <is>
          <t xml:space="preserve">tests/reports.test.js, tests/api-postgres.test.js</t>
        </is>
      </c>
      <c r="N26" s="10" t="inlineStr">
        <is>
          <t xml:space="preserve">FEC-02, ADR-001</t>
        </is>
      </c>
      <c r="O26" s="10" t="inlineStr">
        <is>
          <t xml:space="preserve">TC-42, TC-32</t>
        </is>
      </c>
      <c r="P26" s="10" t="inlineStr">
        <is>
          <t xml:space="preserve">Every overdue request once with four fields, and none within the target.</t>
        </is>
      </c>
      <c r="Q26" s="10" t="inlineStr">
        <is>
          <t xml:space="preserve">Pass on main at the release tag (PED v4.0 s40.2); records in docs/quality/test-catalogue.md</t>
        </is>
      </c>
      <c r="R26" s="10" t="inlineStr">
        <is>
          <t xml:space="preserve">None</t>
        </is>
      </c>
      <c r="S26" s="10" t="inlineStr">
        <is>
          <t xml:space="preserve">1 of 1. AC1. every overdue request once with four fields, none within target: Met. TC-42, TC-32</t>
        </is>
      </c>
      <c r="T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src/modules/audit/audit.js, service.js transactions (#132), persistence store.js (#155)</t>
        </is>
      </c>
      <c r="M27" s="9" t="inlineStr">
        <is>
          <t xml:space="preserve">tests/workflow-service.test.js, tests/api-state-transitions.test.js, tests/api-postgres.test.js</t>
        </is>
      </c>
      <c r="N27" s="9" t="inlineStr">
        <is>
          <t xml:space="preserve">ADR-001, ADR-007</t>
        </is>
      </c>
      <c r="O27" s="9" t="inlineStr">
        <is>
          <t xml:space="preserve">TC-04, TC-18, TC-24, TC-32</t>
        </is>
      </c>
      <c r="P27" s="9" t="inlineStr">
        <is>
          <t xml:space="preserve">Each change of status, assignee or priority creates exactly one complete audit entry with the true previous value.</t>
        </is>
      </c>
      <c r="Q27" s="9" t="inlineStr">
        <is>
          <t xml:space="preserve">Pass on main at the release tag (PED v4.0 s40.2); records in docs/quality/test-catalogue.md</t>
        </is>
      </c>
      <c r="R27" s="9" t="inlineStr">
        <is>
          <t xml:space="preserve">None</t>
        </is>
      </c>
      <c r="S27" s="9" t="inlineStr">
        <is>
          <t xml:space="preserve">1 of 1. AC1. exactly one complete entry per change, previous value correct: Met. TC-18; TC-32 row by row in PostgreSQL</t>
        </is>
      </c>
      <c r="T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no route edits or deletes an audit entry; the application's database role has no UPDATE or DELETE on audit_entries (docs/deployment/app-role.sql, #155)</t>
        </is>
      </c>
      <c r="M28" s="10" t="inlineStr">
        <is>
          <t xml:space="preserve">tests/authorisation-policy.test.js, tests/api-decision-table.test.js (#147), simulated production check (#155)</t>
        </is>
      </c>
      <c r="N28" s="10" t="inlineStr">
        <is>
          <t xml:space="preserve">ADR-006</t>
        </is>
      </c>
      <c r="O28" s="10" t="inlineStr">
        <is>
          <t xml:space="preserve">TC-04, TC-22, TC-32</t>
        </is>
      </c>
      <c r="P28" s="10" t="inlineStr">
        <is>
          <t xml:space="preserve">No endpoint changes an audit entry, an attempt is refused, verified by review and negative test.</t>
        </is>
      </c>
      <c r="Q28" s="10" t="inlineStr">
        <is>
          <t xml:space="preserve">Pass on main at the release tag (PED v4.0 s40.2); records in docs/quality/test-catalogue.md; as civicconnect_app, UPDATE and DELETE on audit_entries answer permission denied (17 October 2026)</t>
        </is>
      </c>
      <c r="R28" s="10" t="inlineStr">
        <is>
          <t xml:space="preserve">None</t>
        </is>
      </c>
      <c r="S28" s="10" t="inlineStr">
        <is>
          <t xml:space="preserve">3 of 3. AC1. no endpoint accepts update or delete: Met. TC-04 AC2. an attempt through an exposed route is refused: Met. TC-22 editAuditEntry for every role; the database role refuses it AC3. verified by review and negative test: Met. TC-04, TC-22; review of #155</t>
        </is>
      </c>
      <c r="T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src/modules/administration (#155, #157)</t>
        </is>
      </c>
      <c r="M29" s="9" t="inlineStr">
        <is>
          <t xml:space="preserve">tests/administration.test.js, tests/api-postgres.test.js</t>
        </is>
      </c>
      <c r="N29" s="9" t="inlineStr">
        <is>
          <t xml:space="preserve">ADR-007</t>
        </is>
      </c>
      <c r="O29" s="9" t="inlineStr">
        <is>
          <t xml:space="preserve">TC-43, TC-31, TC-32</t>
        </is>
      </c>
      <c r="P29" s="9" t="inlineStr">
        <is>
          <t xml:space="preserve">A deactivated category is not offered but still shows on its requests; deleting one is refused with the reason.</t>
        </is>
      </c>
      <c r="Q29" s="9" t="inlineStr">
        <is>
          <t xml:space="preserve">Pass on main at the release tag (PED v4.0 s40.2); records in docs/quality/test-catalogue.md</t>
        </is>
      </c>
      <c r="R29" s="9" t="inlineStr">
        <is>
          <t xml:space="preserve">None</t>
        </is>
      </c>
      <c r="S29" s="9" t="inlineStr">
        <is>
          <t xml:space="preserve">2 of 2. AC1. deactivated: not offered, still shown on existing requests: Met. TC-43, TC-32 AC2. deleting a referenced category refused with an explanation: Met. 409 with the reason and what to do instead (TC-43, TC-32, #157)</t>
        </is>
      </c>
      <c r="T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administration/service.js deactivateUser (#155); authenticate reads active on every call (#130)</t>
        </is>
      </c>
      <c r="M30" s="10" t="inlineStr">
        <is>
          <t xml:space="preserve">tests/administration.test.js, tests/identity-access.test.js, tests/api-postgres.test.js</t>
        </is>
      </c>
      <c r="N30" s="10" t="inlineStr">
        <is>
          <t xml:space="preserve">ADR-007</t>
        </is>
      </c>
      <c r="O30" s="10" t="inlineStr">
        <is>
          <t xml:space="preserve">TC-43, TC-09, TC-32</t>
        </is>
      </c>
      <c r="P30" s="10" t="inlineStr">
        <is>
          <t xml:space="preserve">A deactivated account cannot sign in or act, and what it wrote stays visible and attributed.</t>
        </is>
      </c>
      <c r="Q30" s="10" t="inlineStr">
        <is>
          <t xml:space="preserve">Pass on main at the release tag (PED v4.0 s40.2); records in docs/quality/test-catalogue.md</t>
        </is>
      </c>
      <c r="R30" s="10" t="inlineStr">
        <is>
          <t xml:space="preserve">DEF-011 (fixed)</t>
        </is>
      </c>
      <c r="S30" s="10" t="inlineStr">
        <is>
          <t xml:space="preserve">2 of 2. AC1. cannot authenticate: Met. TC-09; TC-32 ends its session at once AC2. its requests, entries and audit entries remain, attributed: Met. TC-32 (#157)</t>
        </is>
      </c>
      <c r="T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src/modules/notifications (#142, #155)</t>
        </is>
      </c>
      <c r="M31" s="9" t="inlineStr">
        <is>
          <t xml:space="preserve">tests/notifications.test.js, tests/api-postgres.test.js</t>
        </is>
      </c>
      <c r="N31" s="9" t="inlineStr">
        <is>
          <t xml:space="preserve">DEC-005, SC-D-01, FEC-03, ADR-008</t>
        </is>
      </c>
      <c r="O31" s="9" t="inlineStr">
        <is>
          <t xml:space="preserve">TC-41, TC-32</t>
        </is>
      </c>
      <c r="P31" s="9" t="inlineStr">
        <is>
          <t xml:space="preserve">After each of the four events the requester sees an indication naming the request and the event.</t>
        </is>
      </c>
      <c r="Q31" s="9" t="inlineStr">
        <is>
          <t xml:space="preserve">Pass on main at the release tag (PED v4.0 s40.2); records in docs/quality/test-catalogue.md</t>
        </is>
      </c>
      <c r="R31" s="9" t="inlineStr">
        <is>
          <t xml:space="preserve">None</t>
        </is>
      </c>
      <c r="S31" s="9" t="inlineStr">
        <is>
          <t xml:space="preserve">1 of 1. AC1. an indication for each of the four events: Met. TC-41, TC-32</t>
        </is>
      </c>
      <c r="T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queue with paging and indexes (#141, #109, #155)</t>
        </is>
      </c>
      <c r="M32" s="10" t="inlineStr">
        <is>
          <t xml:space="preserve">perf/nfr-001-queue.mjs (#139, #150)</t>
        </is>
      </c>
      <c r="N32" s="10" t="inlineStr">
        <is>
          <t xml:space="preserve">FEC-04, FEC-06, ADR-001, ADR-006</t>
        </is>
      </c>
      <c r="O32" s="10" t="inlineStr">
        <is>
          <t xml:space="preserve">TC-35</t>
        </is>
      </c>
      <c r="P32" s="10" t="inlineStr">
        <is>
          <t xml:space="preserve">p95 of 20 first-page retrievals with 5,000 requests under 2.0 s.</t>
        </is>
      </c>
      <c r="Q32" s="10" t="inlineStr">
        <is>
          <t xml:space="preserve">Simulated production build at rc-f47d054, 17 October 2026: p95 7.4 ms (client and server on one machine)</t>
        </is>
      </c>
      <c r="R32" s="10" t="inlineStr">
        <is>
          <t xml:space="preserve">None</t>
        </is>
      </c>
      <c r="S32" s="10" t="inlineStr">
        <is>
          <t xml:space="preserve">1 of 1. AC1. p95 under 2.0 s at 5,000 requests: Met. p95 7.4 ms, no network in the path (TC-35)</t>
        </is>
      </c>
      <c r="T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request-capture (#131, #155)</t>
        </is>
      </c>
      <c r="M33" s="9" t="inlineStr">
        <is>
          <t xml:space="preserve">perf/nfr-002-submission.mjs (#139, #150)</t>
        </is>
      </c>
      <c r="N33" s="9" t="inlineStr">
        <is>
          <t xml:space="preserve">ADR-007</t>
        </is>
      </c>
      <c r="O33" s="9" t="inlineStr">
        <is>
          <t xml:space="preserve">TC-35</t>
        </is>
      </c>
      <c r="P33" s="9" t="inlineStr">
        <is>
          <t xml:space="preserve">p95 of 20 submissions under 3.0 s.</t>
        </is>
      </c>
      <c r="Q33" s="9" t="inlineStr">
        <is>
          <t xml:space="preserve">Simulated production build at rc-f47d054, 17 October 2026: p95 7.9 ms</t>
        </is>
      </c>
      <c r="R33" s="9" t="inlineStr">
        <is>
          <t xml:space="preserve">None</t>
        </is>
      </c>
      <c r="S33" s="9" t="inlineStr">
        <is>
          <t xml:space="preserve">1 of 1. AC1. p95 under 3.0 s: Met. p95 7.9 ms (TC-35)</t>
        </is>
      </c>
      <c r="T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probes the database (#155)</t>
        </is>
      </c>
      <c r="M34" s="10" t="inlineStr">
        <is>
          <t xml:space="preserve">tests/http-hardening.test.js (#155)</t>
        </is>
      </c>
      <c r="N34" s="10" t="inlineStr">
        <is>
          <t xml:space="preserve">RSK-02, FEC-05, DEC-010</t>
        </is>
      </c>
      <c r="O34" s="10" t="inlineStr">
        <is>
          <t xml:space="preserve">TC-44</t>
        </is>
      </c>
      <c r="P34" s="10" t="inlineStr">
        <is>
          <t xml:space="preserve">98% availability over service hours, measured monthly.</t>
        </is>
      </c>
      <c r="Q34" s="10" t="inlineStr">
        <is>
          <t xml:space="preserve">Not measured: no hosted service ran for a month (PED v4.0 s41)</t>
        </is>
      </c>
      <c r="R34" s="10" t="inlineStr">
        <is>
          <t xml:space="preserve">None</t>
        </is>
      </c>
      <c r="S34" s="10" t="inlineStr">
        <is>
          <t xml:space="preserve">0 of 1. AC1. 98% availability, assessed monthly: Not met. the probe target exists (TC-44), but no month of hosted service exists to measure</t>
        </is>
      </c>
      <c r="T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argon2 in identity-access and wiring.js (#130, #155)</t>
        </is>
      </c>
      <c r="M35" s="9" t="inlineStr">
        <is>
          <t xml:space="preserve">tests/rsk01.test.js (#90), tests/password-reset.test.js, tests/identity-access.test.js</t>
        </is>
      </c>
      <c r="N35" s="9" t="inlineStr">
        <is>
          <t xml:space="preserve">RSK-05, ADR-002</t>
        </is>
      </c>
      <c r="O35" s="9" t="inlineStr">
        <is>
          <t xml:space="preserve">TC-36, TC-38</t>
        </is>
      </c>
      <c r="P35" s="9" t="inlineStr">
        <is>
          <t xml:space="preserve">Passwords stored only as a slow, salted hash.</t>
        </is>
      </c>
      <c r="Q35" s="9" t="inlineStr">
        <is>
          <t xml:space="preserve">Pass on main at the release tag (PED v4.0 s40.2); records in docs/quality/test-catalogue.md</t>
        </is>
      </c>
      <c r="R35" s="9" t="inlineStr">
        <is>
          <t xml:space="preserve">DEF-001 (fixed)</t>
        </is>
      </c>
      <c r="S35" s="9" t="inlineStr">
        <is>
          <t xml:space="preserve">1 of 1. AC1. slow, salted hash only: Met. argon2id with a per-user salt; no other storage (RSK-01 test)</t>
        </is>
      </c>
      <c r="T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policy.js (#94), every route behind authenticate and the policy (#155)</t>
        </is>
      </c>
      <c r="M36" s="10" t="inlineStr">
        <is>
          <t xml:space="preserve">tests/api-decision-table.test.js (#147), tests/authorisation-policy.test.js</t>
        </is>
      </c>
      <c r="N36" s="10" t="inlineStr">
        <is>
          <t xml:space="preserve">RSK-05, FEC-01, ADR-006, CR-002 (#92)</t>
        </is>
      </c>
      <c r="O36" s="10" t="inlineStr">
        <is>
          <t xml:space="preserve">TC-01, TC-22, TC-32</t>
        </is>
      </c>
      <c r="P36" s="10" t="inlineStr">
        <is>
          <t xml:space="preserve">No access succeeds anywhere in the negative matrix, called directly at the endpoints.</t>
        </is>
      </c>
      <c r="Q36" s="10" t="inlineStr">
        <is>
          <t xml:space="preserve">Pass on main at the release tag (PED v4.0 s40.2); records in docs/quality/test-catalogue.md</t>
        </is>
      </c>
      <c r="R36" s="10" t="inlineStr">
        <is>
          <t xml:space="preserve">DEF-002 to DEF-005 (fixed)</t>
        </is>
      </c>
      <c r="S36" s="10" t="inlineStr">
        <is>
          <t xml:space="preserve">1 of 1. AC1. zero successful accesses across the negative matrix, at the endpoints: Met. TC-22: 56 cells through their own endpoint and editAuditEntry's 4 at the permission check (no endpoint by FR-026), with category scope varied</t>
        </is>
      </c>
      <c r="T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HTTPS, the HTTP redirect, HSTS and the content security policy (src/server.js, src/app.js, #155)</t>
        </is>
      </c>
      <c r="M37" s="9" t="inlineStr">
        <is>
          <t xml:space="preserve">tools/smoke-check.mjs (#155)</t>
        </is>
      </c>
      <c r="N37" s="9" t="inlineStr">
        <is>
          <t xml:space="preserve">DEC-010</t>
        </is>
      </c>
      <c r="O37" s="9" t="inlineStr">
        <is>
          <t xml:space="preserve">TC-44, smoke check</t>
        </is>
      </c>
      <c r="P37" s="9" t="inlineStr">
        <is>
          <t xml:space="preserve">Every request over HTTPS, plain HTTP redirected, no mixed content.</t>
        </is>
      </c>
      <c r="Q37" s="9" t="inlineStr">
        <is>
          <t xml:space="preserve">Simulated production over HTTPS, 17 October 2026: smoke check 7 of 7, including HSTS and the redirect</t>
        </is>
      </c>
      <c r="R37" s="9" t="inlineStr">
        <is>
          <t xml:space="preserve">None</t>
        </is>
      </c>
      <c r="S37" s="9" t="inlineStr">
        <is>
          <t xml:space="preserve">1 of 1. AC1. all over HTTPS, HTTP redirected, no mixed content: Met. in simulated production, with a self-signed certificate (PED v4.0 s41)</t>
        </is>
      </c>
      <c r="T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on every pull request (#87); .gitignore and .env.example (#90)</t>
        </is>
      </c>
      <c r="M38" s="10" t="inlineStr">
        <is>
          <t xml:space="preserve">.github/workflows/secret-scan.yml</t>
        </is>
      </c>
      <c r="N38" s="10" t="inlineStr">
        <is>
          <t xml:space="preserve">RSK-11</t>
        </is>
      </c>
      <c r="O38" s="10" t="inlineStr">
        <is>
          <t xml:space="preserve">s30.3</t>
        </is>
      </c>
      <c r="P38" s="10" t="inlineStr">
        <is>
          <t xml:space="preserve">No finding from secret scanning across the whole history.</t>
        </is>
      </c>
      <c r="Q38" s="10" t="inlineStr">
        <is>
          <t xml:space="preserve">Full-history scan at the release tag (PED v4.0 s40.2)</t>
        </is>
      </c>
      <c r="R38" s="10" t="inlineStr">
        <is>
          <t xml:space="preserve">None</t>
        </is>
      </c>
      <c r="S38" s="10" t="inlineStr">
        <is>
          <t xml:space="preserve">1 of 1. AC1. zero findings across the full history: Met. gitleaks detect on the full history (PED v3.0 s30.3; re-run at the tag)</t>
        </is>
      </c>
      <c r="T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the data model (ADR-007) and the scope in policy.js; the Personal Data Inventory (#125)</t>
        </is>
      </c>
      <c r="M39" s="9" t="inlineStr">
        <is>
          <t xml:space="preserve">PED v4.0 s38</t>
        </is>
      </c>
      <c r="N39" s="9" t="inlineStr">
        <is>
          <t xml:space="preserve">RSK-05, RSK-10, FEC-04, ADR-006</t>
        </is>
      </c>
      <c r="O39" s="9" t="inlineStr">
        <is>
          <t xml:space="preserve">s38</t>
        </is>
      </c>
      <c r="P39" s="9" t="inlineStr">
        <is>
          <t xml:space="preserve">Only name, contact detail and request content stored as personal information, each field justified, access by FR-002.</t>
        </is>
      </c>
      <c r="Q39" s="9" t="inlineStr">
        <is>
          <t xml:space="preserve">See the Personal Data Inventory</t>
        </is>
      </c>
      <c r="R39" s="9" t="inlineStr">
        <is>
          <t xml:space="preserve">None</t>
        </is>
      </c>
      <c r="S39" s="9" t="inlineStr">
        <is>
          <t xml:space="preserve">0.5 of 1. AC1. only the three kinds of personal information, each justified, access governed: Partially met. access is governed and tested (TC-01, TC-22); the inventory justifying each field is in #144, not merged</t>
        </is>
      </c>
      <c r="T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the client (#133 to #135)</t>
        </is>
      </c>
      <c r="M40" s="10" t="inlineStr">
        <is>
          <t xml:space="preserve">none</t>
        </is>
      </c>
      <c r="N40" s="10" t="inlineStr">
        <is>
          <t xml:space="preserve">-</t>
        </is>
      </c>
      <c r="O40" s="10" t="inlineStr">
        <is>
          <t xml:space="preserve">none</t>
        </is>
      </c>
      <c r="P40" s="10" t="inlineStr">
        <is>
          <t xml:space="preserve">At least 4 of 5 first-time users complete a submission unaided within 3 minutes.</t>
        </is>
      </c>
      <c r="Q40" s="10" t="inlineStr">
        <is>
          <t xml:space="preserve">Not run</t>
        </is>
      </c>
      <c r="R40" s="10" t="inlineStr">
        <is>
          <t xml:space="preserve">None</t>
        </is>
      </c>
      <c r="S40" s="10" t="inlineStr">
        <is>
          <t xml:space="preserve">0 of 1. AC1. 4 of 5 first-time users within 3 minutes: Not met. the moderated task test was not run</t>
        </is>
      </c>
      <c r="T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the client's markup and styles (#133 to #135, #155)</t>
        </is>
      </c>
      <c r="M41" s="9" t="inlineStr">
        <is>
          <t xml:space="preserve">e2e/journeys/accessibility.spec.js (#155)</t>
        </is>
      </c>
      <c r="N41" s="9" t="inlineStr">
        <is>
          <t xml:space="preserve">-</t>
        </is>
      </c>
      <c r="O41" s="9" t="inlineStr">
        <is>
          <t xml:space="preserve">TC-45</t>
        </is>
      </c>
      <c r="P41" s="9" t="inlineStr">
        <is>
          <t xml:space="preserve">Keyboard operable with visible focus, every control labelled, body text contrast at AA.</t>
        </is>
      </c>
      <c r="Q41" s="9" t="inlineStr">
        <is>
          <t xml:space="preserve">Pass on main at the release tag (PED v4.0 s40.2); records in docs/quality/test-catalogue.md</t>
        </is>
      </c>
      <c r="R41" s="9" t="inlineStr">
        <is>
          <t xml:space="preserve">DEF-012 (fixed)</t>
        </is>
      </c>
      <c r="S41" s="9" t="inlineStr">
        <is>
          <t xml:space="preserve">1 of 1. AC1. keyboard, visible focus, labels, contrast: Met. TC-45: no WCAG 2.1 A or AA violation on any screen, and the keyboard walk</t>
        </is>
      </c>
      <c r="T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audit.js and the change's transaction (#132), persistence store.js (#155)</t>
        </is>
      </c>
      <c r="M42" s="10" t="inlineStr">
        <is>
          <t xml:space="preserve">tests/workflow-service.test.js, tests/api-postgres.test.js</t>
        </is>
      </c>
      <c r="N42" s="10" t="inlineStr">
        <is>
          <t xml:space="preserve">RSK-09, ADR-001, ADR-005</t>
        </is>
      </c>
      <c r="O42" s="10" t="inlineStr">
        <is>
          <t xml:space="preserve">TC-18, TC-32</t>
        </is>
      </c>
      <c r="P42" s="10" t="inlineStr">
        <is>
          <t xml:space="preserve">Every change produces exactly one complete audit entry, with none orphaned.</t>
        </is>
      </c>
      <c r="Q42" s="10" t="inlineStr">
        <is>
          <t xml:space="preserve">Pass on main at the release tag (PED v4.0 s40.2); records in docs/quality/test-catalogue.md</t>
        </is>
      </c>
      <c r="R42" s="10" t="inlineStr">
        <is>
          <t xml:space="preserve">None</t>
        </is>
      </c>
      <c r="S42" s="10" t="inlineStr">
        <is>
          <t xml:space="preserve">1 of 1. AC1. 100% of changes, exactly one complete entry each: Met. TC-18; TC-32 compares the audit rows with the changes made</t>
        </is>
      </c>
      <c r="T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CI workflow .github/workflows/ci.yml (#156); test and gitleaks required on main by the Protect main ruleset</t>
        </is>
      </c>
      <c r="M43" s="9" t="inlineStr">
        <is>
          <t xml:space="preserve">.github/workflows/ci.yml (#156); the blocked-merge proof on #110 (#158)</t>
        </is>
      </c>
      <c r="N43" s="9" t="inlineStr">
        <is>
          <t xml:space="preserve">RSK-03, ADR-002</t>
        </is>
      </c>
      <c r="O43" s="9" t="inlineStr">
        <is>
          <t xml:space="preserve">s31</t>
        </is>
      </c>
      <c r="P43" s="9" t="inlineStr">
        <is>
          <t xml:space="preserve">Tests covering every Must requirement pass on every pull request before merge is allowed.</t>
        </is>
      </c>
      <c r="Q43" s="9" t="inlineStr">
        <is>
          <t xml:space="preserve">CI passed on main at e73f513, 18 October 2026; #158's deliberately failing test failed the required check and its merge was BLOCKED (actions run 39149158418)</t>
        </is>
      </c>
      <c r="R43" s="9" t="inlineStr">
        <is>
          <t xml:space="preserve">None</t>
        </is>
      </c>
      <c r="S43" s="9" t="inlineStr">
        <is>
          <t xml:space="preserve">1 of 1. AC1. tests gate every merge: Met. every suite runs on every pull request and push to main (#156), the check is required by the ruleset with no bypass, and a failing test blocked #158's merge (#110)</t>
        </is>
      </c>
      <c r="T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simulated production on a member's machine (#122, #155)</t>
        </is>
      </c>
      <c r="M44" s="10" t="inlineStr">
        <is>
          <t xml:space="preserve">PED v2.0 s24, PED v4.0 s41</t>
        </is>
      </c>
      <c r="N44" s="10" t="inlineStr">
        <is>
          <t xml:space="preserve">RSK-02, FEC-05, DEC-010</t>
        </is>
      </c>
      <c r="O44" s="10" t="inlineStr">
        <is>
          <t xml:space="preserve">s41</t>
        </is>
      </c>
      <c r="P44" s="10" t="inlineStr">
        <is>
          <t xml:space="preserve">Zero running cost within free-tier limits, with the limits documented and the cost beyond projected.</t>
        </is>
      </c>
      <c r="Q44" s="10" t="inlineStr">
        <is>
          <t xml:space="preserve">Simulated production costs nothing; projection in PED v4.0 s41.5</t>
        </is>
      </c>
      <c r="R44" s="10" t="inlineStr">
        <is>
          <t xml:space="preserve">None</t>
        </is>
      </c>
      <c r="S44" s="10" t="inlineStr">
        <is>
          <t xml:space="preserve">1 of 1. AC1. zero running cost, limits documented, cost beyond projected: Met. zero cost in the assessed period; free-tier limits in PED s24; the cost beyond projected at USD 13.30 a month at the least, from Render's prices of 18 October 2026 (PED v4.0 s41.5)</t>
        </is>
      </c>
      <c r="T44" s="10" t="s">
        <v>182</v>
      </c>
    </row>
  </sheetData>
  <autoFilter ref="A2:T44"/>
  <mergeCells count="1">
    <mergeCell ref="A1:T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690.2"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On the #90 branch, which has not merged, the bootstrap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active. Found 28 September 2026: Prisma 7.10.0 pins deepmerge-ts 7.1.5 and mysql2 3.15.3, which carry high-severity advisories no 7.x release has fixed (Prisma issue #30295). On the #90 branch, which has not merged, the bootstrap overrides them to deepmerge-ts 8.0.2 and mysql2 3.24.4, and npm audit reports 0 vulnerabilities (9529e80; again at fbd12e9 on 9 October 2026). The audit gate arrives once the CI workflow (#110) merges. The status becomes Materialised - mitigated when both have merged. Probability re-scored from 2 to 3 under #68 and confirmed by the owner, Darius Mushi, on #106, 8 October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row r="32" customFormat="false" ht="46.73" hidden="false" customHeight="false" outlineLevel="0" collapsed="false">
      <c r="A32" s="10" t="inlineStr">
        <is>
          <t xml:space="preserve">RSK-30</t>
        </is>
      </c>
      <c r="B32" s="10" t="inlineStr">
        <is>
          <t xml:space="preserve">The BC Desktop campus environment differs from the Node 24 and PostgreSQL 16 environment the stack was verified on, so the application does not install or run on campus machines.</t>
        </is>
      </c>
      <c r="C32" s="10" t="inlineStr">
        <is>
          <t xml:space="preserve">CR-004 replaced the campus run with a check repeated by a second member and in CI, because no verified campus run exists (#64). CON-07: the campus cannot guarantee the stack is available.</t>
        </is>
      </c>
      <c r="D32" s="10" t="n">
        <v>3</v>
      </c>
      <c r="E32" s="10" t="n">
        <v>3</v>
      </c>
      <c r="F32" s="13" t="n">
        <f aca="false">D32*E32</f>
        <v>9</v>
      </c>
      <c r="G32" s="13" t="str">
        <f aca="false">IF(F32&gt;=20,"Critical",IF(F32&gt;=12,"High",IF(F32&gt;=6,"Medium","Low")))</f>
        <v>Medium</v>
      </c>
      <c r="H32" s="10" t="inlineStr">
        <is>
          <t xml:space="preserve">npm ci installs from the committed lockfile. #90's engines field is to limit Node to version 24 (&gt;=24 &lt;25, with engine-strict), as agreed on #90. Once the CI workflow (#110) merges, it runs the check on Node 24 against PostgreSQL 16 on every pull request. Run the campus check when lab access allows and record the Node version on #64.</t>
        </is>
      </c>
      <c r="I32" s="10" t="inlineStr">
        <is>
          <t xml:space="preserve">Demonstrate from a team member's machine on the simulated staging environment (#122), and record the campus difference as a limitation in the release summary.</t>
        </is>
      </c>
      <c r="J32" s="10" t="inlineStr">
        <is>
          <t xml:space="preserve">Darius Mushi</t>
        </is>
      </c>
      <c r="K32" s="10" t="inlineStr">
        <is>
          <t xml:space="preserve">Open</t>
        </is>
      </c>
      <c r="L32" s="10" t="inlineStr">
        <is>
          <t xml:space="preserve">ADR-002, CR-004, DEC-016, CON-07, RSK-01, RSK-02, #64, #90, #107</t>
        </is>
      </c>
    </row>
  </sheetData>
  <autoFilter ref="A2:L32"/>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M3 (CR-004, approved 12 October 2026): DEC-016 replaces the two conditions below with an environment check repeated by a member other than the author and then by CI, and a proof of concept that persists a User from the ADR-007 model. Gate 3 is carried as RSK-30.
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M3 (CR-004, approved 12 October 2026): under DEC-016, what is still required is the amended conditions, not gate 3; see DEC-016.
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M3 (CR-004, approved 12 October 2026): under DEC-016, #90 merges after the amended conditions instead; see DEC-016.
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row r="18" customFormat="false" ht="70.1" hidden="false" customHeight="false" outlineLevel="0" collapsed="false">
      <c r="A18" s="10" t="inlineStr">
        <is>
          <t xml:space="preserve">DEC-016</t>
        </is>
      </c>
      <c r="B18" s="10" t="inlineStr">
        <is>
          <t xml:space="preserve">Bootstrap merge conditions, amending DEC-008</t>
        </is>
      </c>
      <c r="C18" s="10" t="inlineStr">
        <is>
          <t xml:space="preserve">Decided (M3, CR-004, #107). CR-004 approved on #129 by Darius Mushi on 8 October 2026 and Tristan Roets on 12 October 2026</t>
        </is>
      </c>
      <c r="D18" s="10" t="inlineStr">
        <is>
          <t xml:space="preserve">ADR-002 (DEC-008) let the bootstrap (#90) merge only after gate 3 closed on a BC Desktop machine and the RSK-01 proof of concept passed. By 5 October 2026 neither was shown: the verification logs on #64 disagree, and the proof of concept persisted to a temporary table. Every M3 implementation issue depends on the bootstrap.</t>
        </is>
      </c>
      <c r="E18" s="10" t="inlineStr">
        <is>
          <t xml:space="preserve">CON-07 platform availability; CON-02 schedule, with M3 due 14 October 2026; RSK-01; NFR-004.</t>
        </is>
      </c>
      <c r="F18" s="10" t="inlineStr">
        <is>
          <t xml:space="preserve">(a) Keep both conditions and wait for a verified campus run. (b) Replace the campus run with a check a second member repeats and CI then runs on every pull request, keep the campus check as a risk, and restate the proof of concept against the data model. (c) Remove the conditions.</t>
        </is>
      </c>
      <c r="G18" s="10" t="inlineStr">
        <is>
          <t xml:space="preserve">(b), recorded as CR-004 and as a dated amendment to ADR-002.</t>
        </is>
      </c>
      <c r="H18" s="10" t="inlineStr">
        <is>
          <t xml:space="preserve">A check another member can repeat, and that CI then repeats on every pull request, is stronger evidence than a single run nobody else can see. (a) holds all of M3 on lab access the team does not control. (c) drops the evidence ADR-002 asked for.</t>
        </is>
      </c>
      <c r="I18" s="10" t="inlineStr">
        <is>
          <t xml:space="preserve">No verified run on the campus image before construction starts, so the campus environment can still differ.</t>
        </is>
      </c>
      <c r="J18" s="10" t="inlineStr">
        <is>
          <t xml:space="preserve">RSK-30: the campus environment differs from the verified Node 24 and PostgreSQL 16 environment.</t>
        </is>
      </c>
      <c r="K18" s="10" t="inlineStr">
        <is>
          <t xml:space="preserve">The #64 verification logs (30 September 2026); the reviews on #90; CR-004 and the ADR-002 amendment (#107).</t>
        </is>
      </c>
      <c r="L18" s="10" t="inlineStr">
        <is>
          <t xml:space="preserve">#90 merges under #108 once both amended conditions are shown on it: the environment check, run by a member other than the author and posted on #90, and the proof of concept persisting a User from the ADR-007 model. Once #110 merges, the CI workflow repeats the check on every pull request. The campus check is run when lab access allows and recorded on #64.</t>
        </is>
      </c>
    </row>
    <row r="19" customFormat="false" ht="175.25" hidden="false" customHeight="false" outlineLevel="0" collapsed="false">
      <c r="A19" s="10" t="inlineStr">
        <is>
          <t xml:space="preserve">DEC-017</t>
        </is>
      </c>
      <c r="B19" s="10" t="inlineStr">
        <is>
          <t xml:space="preserve">Submission and workflow details the M1 baseline leaves open: the reference format, the urgency scale, the field limits and who sees priority</t>
        </is>
      </c>
      <c r="C19" s="10" t="inlineStr">
        <is>
          <t xml:space="preserve">Decided (M3, #131). Agreed by all three members: Jean Smit and Tristan Roets on 7 October 2026, Darius Mushi on 8 October 2026</t>
        </is>
      </c>
      <c r="D19" s="10" t="inlineStr">
        <is>
          <t xml:space="preserve">FR-008's acceptance criterion refers to "the agreed format" for the reference, and no baseline artefact states one. FR-005 and FR-021 require a reported urgency and a priority, with no scale. The schema limits the title (VARCHAR(200)) and leaves description and location unlimited. FR-021 says Coordinators see both values and is silent on the Requester. The submission and workflow services (#131, #132) and the screens (#133 to #135) each need these fixed.</t>
        </is>
      </c>
      <c r="E19" s="10" t="inlineStr">
        <is>
          <t xml:space="preserve">DEC-004: the reference is issued at submission, unique, never reused, and not a visible counter. ADR-007: the reference sequence and its unique constraint. FR-012. NFR-007: no secret in the source. DEC-002.</t>
        </is>
      </c>
      <c r="F19" s="10" t="inlineStr">
        <is>
          <t xml:space="preserve">Reference: (a) a visible counter, which DEC-004 rejects because it reveals volume and invites guessing; (b) a random reference retried on collision, which gives up the sequence's guarantee of uniqueness; (c) the sequence passed through a keyed permutation into a fixed format. Urgency and priority: a numeric scale, or three named levels.</t>
        </is>
      </c>
      <c r="G19" s="10" t="inlineStr">
        <is>
          <t xml:space="preserve">1. Reference: CC- and eight digits in two groups of four, for example CC-4829-1573, from ADR-007's sequence through a keyed permutation. The key (REFERENCE_KEY) is configuration, never in the source, and stays fixed for the life of the data. DEC-004 is unchanged. 2. Reported urgency: Low, Medium, High, with the descriptions shown on the form. 3. Field limits: title 200 characters, description 4,000, location 300, each counted after trimming, and every field at least one non-blank character. 4. Priority: the same Low, Medium, High scale, set only by a Coordinator (FR-021). Staff, Coordinators and Managers see priority and assignee; a Requester sees the urgency they reported.</t>
        </is>
      </c>
      <c r="H19" s="10" t="inlineStr">
        <is>
          <t xml:space="preserve">(c) keeps the uniqueness the sequence and the unique constraint give, while one reference, or a run of them, reveals neither its position nor the volume. Three named levels are a choice a requester can make without guidance, and one scale for urgency and priority lets a Coordinator compare them directly (DEC-002). The title limit is the schema's; the others are what a request needs. Showing the Requester only what they supplied keeps FR-021's separation of urgency and priority.</t>
        </is>
      </c>
      <c r="I19" s="10" t="inlineStr">
        <is>
          <t xml:space="preserve">The key cannot change once there is data: a different key is a different permutation, so a new request could land on an existing reference and the insert would be refused. Capacity is 99,999,999 references. A Requester does not see how their request was prioritised.</t>
        </is>
      </c>
      <c r="J19" s="10" t="inlineStr">
        <is>
          <t xml:space="preserve">If the key leaks, the volume DEC-004 guards is exposed, but access is still governed by FR-012's scope check on every lookup. A Requester may feel their urgency was ignored, which DEC-002 records.</t>
        </is>
      </c>
      <c r="K19" s="10" t="inlineStr">
        <is>
          <t xml:space="preserve">The proposal on #131 (issuecomment-6010035116, 6 October 2026); the answers of Jean Smit and Tristan Roets on #131 (7 October 2026) and of Darius Mushi in his review of #131 (8 October 2026); the tests in #131 and #132.</t>
        </is>
      </c>
      <c r="L19" s="10" t="inlineStr">
        <is>
          <t xml:space="preserve">Each value is held in one place in the code (reference.js, validation.js, views.js and the workflow service), so a change is one line and the tests follow it. Changing any of the four is a new decision.</t>
        </is>
      </c>
    </row>
  </sheetData>
  <autoFilter ref="A2:L19"/>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None found in review.</t>
        </is>
      </c>
    </row>
    <row r="30" customFormat="false" ht="140" hidden="false" customHeight="true" outlineLevel="0" collapsed="false">
      <c r="A30" s="9" t="inlineStr">
        <is>
          <t xml:space="preserve">16 October 2026</t>
        </is>
      </c>
      <c r="B30" s="9" t="inlineStr">
        <is>
          <t xml:space="preserve">Darius Mushi</t>
        </is>
      </c>
      <c r="C30" s="9" t="inlineStr">
        <is>
          <t xml:space="preserve">Claude Sonnet 5.5 (Anthropic)</t>
        </is>
      </c>
      <c r="D30" s="9" t="inlineStr">
        <is>
          <t xml:space="preserve">Drafting PED v3.0 s28 (M2 baseline conformance), s30 (construction and configuration) and s31 (CI and automated verification) for the M3 submission (#127).</t>
        </is>
      </c>
      <c r="E30" s="9" t="inlineStr">
        <is>
          <t xml:space="preserve">Proposed the structure and text of the three sections from the PED, the M3 brief and pull request #145, and listed the facts it could not confirm as open questions. Wrote the final text after I supplied repository evidence, and gave the PowerShell commands used to insert it into the PED markdown.</t>
        </is>
      </c>
      <c r="F30" s="9" t="inlineStr">
        <is>
          <t xml:space="preserve">Cross-checked each statement against live repository output: the src/modules listing, package.json, .npmrc, ruleset 22248862 read back from the GitHub API, a full-history gitleaks detect (267 commits, no leaks), the state of issues #27, #36, #37, #48 and #49, the merged pull requests, the workflow file, and the review history of #90 and #129. Checked the insertion with Select-String for leftover placeholders and with git diff --stat. Jean Smit then checked the three assumptions the repository could not show.</t>
        </is>
      </c>
      <c r="G30" s="9" t="inlineStr">
        <is>
          <t xml:space="preserve">Accepted after revision. Facts that could not be confirmed were kept as open questions until the repository evidence or Jean's check was supplied, instead of being guessed.</t>
        </is>
      </c>
      <c r="H30" s="9" t="inlineStr">
        <is>
          <t xml:space="preserve">The first draft left unverified facts in brackets. Checking the repository corrected three errors: the persistence module only re-exports the Prisma client, the first migration creates only the User table, and a PostgreSQL 18.6 run does not meet the ADR-002 amendment, which needs 16. The FR-004 deviation (a Manager-assisted one-time code, not a reset link) was added after checking #146 against the requirement. Jean's check corrected one statement: the draft said both reset limitations were in the Technical Debt Register, but only the Manager-assisted reset is recorded (TD-004, #144, in review) and the missing rate limit is not, so s28.2 now says that.</t>
        </is>
      </c>
    </row>
    <row r="31" customFormat="false" ht="160" hidden="false" customHeight="true" outlineLevel="0" collapsed="false">
      <c r="A31" s="9" t="inlineStr">
        <is>
          <t xml:space="preserve">16 October 2026</t>
        </is>
      </c>
      <c r="B31" s="9" t="inlineStr">
        <is>
          <t xml:space="preserve">Jean Smit</t>
        </is>
      </c>
      <c r="C31" s="9" t="inlineStr">
        <is>
          <t xml:space="preserve">Claude Code (Anthropic)</t>
        </is>
      </c>
      <c r="D31" s="9" t="inlineStr">
        <is>
          <t xml:space="preserve">M3 implementation and tests, 6 to 16 October 2026: sign-in and sessions (#130), request submission, the requester's views and the workflow service (#131, #132), the client screens (#133 to #135), CR-002 (#136), the test catalogue and its check (#137), the browser journeys (#138), the performance scripts (#139), the password reset (#146), the API suites (#147) and the review follow-ups (#149 to #153).</t>
        </is>
      </c>
      <c r="E31" s="9" t="inlineStr">
        <is>
          <t xml:space="preserve">Wrote the code and the tests from the requirements, the ADRs, DEC-017 and the registers, ran the suites, and drafted the commit messages and the pull request descriptions.</t>
        </is>
      </c>
      <c r="F31" s="9" t="inlineStr">
        <is>
          <t xml:space="preserve">Each new test for the services, the API suites and the scripts was shown to fail with the defect it guards against put back (s32.2). The suites were run on each branch and on main at d1af49a, and tools/check_test_catalogue.mjs --strict ties each test to its catalogue record. The RSK-01 test and the draft migrations were run against a local PostgreSQL 16.13. Every pull request is reviewed by the other two members before it merges.</t>
        </is>
      </c>
      <c r="G31" s="9" t="inlineStr">
        <is>
          <t xml:space="preserve">Accepted after revision. #147 and #149 to #153 are still in review.</t>
        </is>
      </c>
      <c r="H31" s="9" t="inlineStr">
        <is>
          <t xml:space="preserve">Review and testing found real defects in the output, each fixed with a regression test: an emoji counted as two characters in the length limits (968a44f), a NUL character in a text field causing a server error (0efac6a), and the assignee id sent in the wrong form (c84b7c1). In the follow-ups, the performance scripts first waited on /api/health where the server serves /health, the catalogue check treated any .env file as a configured database, and a fault in the password-reset concurrency limit went undetected until a test for it was added. One commit message stated 76 tests where 72 ran, and was corrected before it was pushed.</t>
        </is>
      </c>
    </row>
    <row r="32" customFormat="false" ht="160" hidden="false" customHeight="true" outlineLevel="0" collapsed="false">
      <c r="A32" s="9" t="inlineStr">
        <is>
          <t xml:space="preserve">16 October 2026</t>
        </is>
      </c>
      <c r="B32" s="9" t="inlineStr">
        <is>
          <t xml:space="preserve">Jean Smit</t>
        </is>
      </c>
      <c r="C32" s="9" t="inlineStr">
        <is>
          <t xml:space="preserve">Claude Code (Anthropic)</t>
        </is>
      </c>
      <c r="D32" s="9" t="inlineStr">
        <is>
          <t xml:space="preserve">Drafting PED v3.0 s27 and s32 to s36, completing the submission information on 16 October 2026, and drafting s29 in place of Tristan Roets for the submitted build (#127, #145).</t>
        </is>
      </c>
      <c r="E32" s="9" t="inlineStr">
        <is>
          <t xml:space="preserve">Drafted the sections from the M3 brief, the registers, the test catalogue and the repository, filled the placeholders at submission, and built the Word document and the PDF.</t>
        </is>
      </c>
      <c r="F32" s="9" t="inlineStr">
        <is>
          <t xml:space="preserve">Each count, date, commit and pull request number was read back from the repository or GitHub: merge dates and states with gh, test counts from the runs on main at d1af49a, and register text from the workbook. tools/ped_fidelity.py --m1-only confirmed that sections 1 to 17 differ only where the 3.0 row says (68 lines). The PDF was rendered page by page and checked for placeholders, layout and where each section starts.</t>
        </is>
      </c>
      <c r="G32" s="9" t="inlineStr">
        <is>
          <t xml:space="preserve">Accepted after revision.</t>
        </is>
      </c>
      <c r="H32" s="9" t="inlineStr">
        <is>
          <t xml:space="preserve">Three statements were wrong and were corrected before submission: s36 said both reset limitations were in the Technical Debt Register, where only TD-004 is (#144); the run instructions in s27.1 left out the database steps the RSK-01 test needs; and the first draft of s29 said all five changes were made in M3, where two are still proposed.</t>
        </is>
      </c>
    </row>
    <row r="33" customFormat="false" ht="120" hidden="false" customHeight="true" outlineLevel="0" collapsed="false">
      <c r="A33" s="9" t="inlineStr">
        <is>
          <t xml:space="preserve">17 October 2026</t>
        </is>
      </c>
      <c r="B33" s="9" t="inlineStr">
        <is>
          <t xml:space="preserve">Tristan Roets</t>
        </is>
      </c>
      <c r="C33" s="9" t="inlineStr">
        <is>
          <t xml:space="preserve">ChatGPT (OpenAI)</t>
        </is>
      </c>
      <c r="D33" s="9" t="inlineStr">
        <is>
          <t xml:space="preserve">Supporting work during M3 and the Final Project: understanding and checking requirements, working through problems, reviewing parts of the work, and the wording of documentation and review comments.</t>
        </is>
      </c>
      <c r="E33" s="9" t="inlineStr">
        <is>
          <t xml:space="preserve">Helped to understand and check requirements, to work through problems and to review parts of the work, improved the wording of documentation and review comments, checked whether work matched the project requirements, and pointed out things that may have been overlooked.</t>
        </is>
      </c>
      <c r="F33" s="9" t="inlineStr">
        <is>
          <t xml:space="preserve">Reviewed the changes personally, checked the results and the evidence, and made the final decision on everything submitted or approved.</t>
        </is>
      </c>
      <c r="G33" s="9" t="inlineStr">
        <is>
          <t xml:space="preserve">Used as a supporting tool only. The AI made no project decision and completed no task on its own.</t>
        </is>
      </c>
      <c r="H33" s="9" t="inlineStr">
        <is>
          <t xml:space="preserve">None found in review.</t>
        </is>
      </c>
    </row>
  </sheetData>
  <autoFilter ref="A2:H33"/>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at 3b2def7,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and implemented. Approved by all three members on #69, 30 September 2026: fix the matrix for all four cells. Implemented under #92 (6 October 2026): the Access Matrix sheet now refuses the four cells, the test fixture is re-exported from it, and the policy's list of conflicts is empty. PED s8.3 is corrected in PED v3.0 (#127); until then its reading note records the correction.</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row r="6" customFormat="false" ht="226.1" hidden="false" customHeight="false" outlineLevel="0" collapsed="false">
      <c r="A6" s="10" t="inlineStr">
        <is>
          <t xml:space="preserve">CR-004</t>
        </is>
      </c>
      <c r="B6" s="10" t="inlineStr">
        <is>
          <t xml:space="preserve">Jean Smit</t>
        </is>
      </c>
      <c r="C6" s="10" t="inlineStr">
        <is>
          <t xml:space="preserve">5 October 2026</t>
        </is>
      </c>
      <c r="D6" s="10" t="inlineStr">
        <is>
          <t xml:space="preserve">Amend the two conditions ADR-002 sets before the bootstrap (#90) merges (#107). Condition 1, gate 3 on a BC Desktop machine, becomes a reproducible check: a member other than the author runs npm ci, prisma generate, prisma migrate deploy and npm test from a fresh clone with no node_modules, on Node 24 against PostgreSQL 16, and posts the output on #90 with the operating system, node -v and where PostgreSQL ran. The CI workflow repeats it on every pull request once #110 merges. The campus check becomes RSK-30. Condition 2 is restated: the RSK-01 proof of concept persists a User from the ADR-007 model through Prisma and verifies an argon2 sign-in.</t>
        </is>
      </c>
      <c r="E6" s="10" t="inlineStr">
        <is>
          <t xml:space="preserve">Neither condition could be shown as met. The two verification logs on #64 disagree: the log with a screenshot ran on a member's own machine on Node 25.9.0 with mock data, and the log that reports a campus run has no screenshot or command output. The proof of concept in #90 persists to a table the test creates and drops, outside the data model. M3 is due 14 October 2026 and every M3 implementation issue depends on the bootstrap.</t>
        </is>
      </c>
      <c r="F6" s="10" t="inlineStr">
        <is>
          <t xml:space="preserve">None. NFR-004 and the substance of the RSK-01 proof of concept are unchanged.</t>
        </is>
      </c>
      <c r="G6" s="10" t="inlineStr">
        <is>
          <t xml:space="preserve">ADR-002: the merge conditions under Decision, recorded as a dated amendment. The original conditions stay in the record.</t>
        </is>
      </c>
      <c r="H6" s="10" t="inlineStr">
        <is>
          <t xml:space="preserve">Data: the proof of concept uses the User entity from ADR-007 instead of a temporary table.</t>
        </is>
      </c>
      <c r="I6" s="10" t="inlineStr">
        <is>
          <t xml:space="preserve">None. The argon2 check is kept.</t>
        </is>
      </c>
      <c r="J6" s="10" t="inlineStr">
        <is>
          <t xml:space="preserve">The environment check becomes repeatable: a second member's run on #90, then the CI workflow (#110) on every pull request, on Node 24 against PostgreSQL 16.</t>
        </is>
      </c>
      <c r="K6" s="10" t="inlineStr">
        <is>
          <t xml:space="preserve">None</t>
        </is>
      </c>
      <c r="L6" s="10" t="inlineStr">
        <is>
          <t xml:space="preserve">Unblocks #108, and through it every M3 implementation issue. The timebox was #108's due date, 7 October 2026. The proof of concept on the User model was pushed to #90 on 11 October 2026 (e162f28), four days after it; the second member's environment check is still to be posted. The date is not moved: the delay is recorded here and in ADR-002's amendment.</t>
        </is>
      </c>
      <c r="M6" s="10" t="inlineStr">
        <is>
          <t xml:space="preserve">None</t>
        </is>
      </c>
      <c r="N6" s="10" t="inlineStr">
        <is>
          <t xml:space="preserve">Adds RSK-30 for the unverified campus environment. RSK-01 and RSK-02 are unchanged.</t>
        </is>
      </c>
      <c r="O6" s="10" t="inlineStr">
        <is>
          <t xml:space="preserve">ACCEPT</t>
        </is>
      </c>
      <c r="P6" s="10" t="inlineStr">
        <is>
          <t xml:space="preserve">Approved. Darius Mushi approved CR-004 on #129 on 8 October 2026, subject to DEC-016's later consequence naming both amended conditions, which it does. Tristan Roets approved it on #129 on 12 October 2026.</t>
        </is>
      </c>
    </row>
    <row r="7" customFormat="false" ht="297.5" hidden="false" customHeight="false" outlineLevel="0" collapsed="false">
      <c r="A7" s="10" t="inlineStr">
        <is>
          <t xml:space="preserve">CR-005</t>
        </is>
      </c>
      <c r="B7" s="10" t="inlineStr">
        <is>
          <t xml:space="preserve">Jean Smit</t>
        </is>
      </c>
      <c r="C7" s="10" t="inlineStr">
        <is>
          <t xml:space="preserve">7 October 2026</t>
        </is>
      </c>
      <c r="D7" s="10" t="inlineStr">
        <is>
          <t xml:space="preserve">Record the changes PED v2.0 makes to M1 sections (1 to 17) that CR-001 to CR-003 do not cover (#95). 1. The cover updated for each version: title, milestone, document line and baseline status. 2. A Milestone 2 boundary note added under the M1 one. 3. A paragraph added to s2 on how the M1 and M2 sections relate. 4. Reading notes added to s10, s13 and s14.2, each saying the section shows the register as at M1 and pointing to the live register in the workbook. 5. Four references added to s17, for s20, s24 and s26.2. 6. The M1 template instruction left under the version table in v1.0 removed. 7. The team's M1 sign-off recorded in s16 as its recommendation (#69), with the assessor's gate decision pending. Item 1 was widened on 8 October 2026 from the v2.0 cover alone, so that v3.0 (#145) and v4.0 update the same cover rows under this change.</t>
        </is>
      </c>
      <c r="E7" s="10" t="inlineStr">
        <is>
          <t xml:space="preserve">v2.0 continues the same document (Master Brief s6), so the M1 sections must stay readable next to the M2 ones without being rewritten. Items 1 to 4 tell a reader what changed and where the live versions are; item 5 supports claims made in the M2 sections; item 6 removes text that was never meant to be submitted; item 7 records a decision the team took on #69. A change request per version for the cover would add records without adding control, and the version row in s1 records each cover change.</t>
        </is>
      </c>
      <c r="F7" s="10" t="inlineStr">
        <is>
          <t xml:space="preserve">None. Every M1 table keeps its content.</t>
        </is>
      </c>
      <c r="G7" s="10" t="inlineStr">
        <is>
          <t xml:space="preserve">None</t>
        </is>
      </c>
      <c r="H7" s="10" t="inlineStr">
        <is>
          <t xml:space="preserve">None</t>
        </is>
      </c>
      <c r="I7" s="10" t="inlineStr">
        <is>
          <t xml:space="preserve">None</t>
        </is>
      </c>
      <c r="J7" s="10" t="inlineStr">
        <is>
          <t xml:space="preserve">tools/ped_fidelity.py --m1-only lists every difference from v1.0 in sections 1 to 17, so a reviewer can compare it with the version row: 55 lines on v2.0, 60 on v3.0.</t>
        </is>
      </c>
      <c r="K7" s="10" t="inlineStr">
        <is>
          <t xml:space="preserve">None</t>
        </is>
      </c>
      <c r="L7" s="10" t="inlineStr">
        <is>
          <t xml:space="preserve">None</t>
        </is>
      </c>
      <c r="M7" s="10" t="inlineStr">
        <is>
          <t xml:space="preserve">None</t>
        </is>
      </c>
      <c r="N7" s="10" t="inlineStr">
        <is>
          <t xml:space="preserve">None. The reading notes point to registers changed under their own pull requests.</t>
        </is>
      </c>
      <c r="O7" s="10" t="inlineStr">
        <is>
          <t xml:space="preserve">ACCEPT</t>
        </is>
      </c>
      <c r="P7" s="10" t="inlineStr">
        <is>
          <t xml:space="preserve">Approved. Tristan Roets agreed to the seven items on #95 on 7 October 2026, and to item 1 as widened on 12 October 2026. Darius Mushi agreed on #95 on 18 October 2026, after checking that the changes to sections 1 to 17 are limited to those listed here and that no other M1 content is altered.</t>
        </is>
      </c>
    </row>
    <row r="8" customFormat="false" ht="357.0" hidden="false" customHeight="false" outlineLevel="0" collapsed="false">
      <c r="A8" s="10" t="inlineStr">
        <is>
          <t xml:space="preserve">CR-006</t>
        </is>
      </c>
      <c r="B8" s="10" t="inlineStr">
        <is>
          <t xml:space="preserve">Jean Smit</t>
        </is>
      </c>
      <c r="C8" s="10" t="inlineStr">
        <is>
          <t xml:space="preserve">7 October 2026</t>
        </is>
      </c>
      <c r="D8" s="10" t="inlineStr">
        <is>
          <t xml:space="preserve">Add five columns to the RTM after column N, so that Status stays the last column (#126). 1. Test cases (M3): the IDs of the records in docs/quality/test-catalogue.md that verify the requirement's acceptance criterion. 2. Expected result (M3): one sentence stating what those tests must show for the criterion to be met, written from the criterion before the result is known. 3. Execution evidence (M3): the run that shows the result, the CI run once #110 merges or until then a dated local run with its commit, and the count of checks passed. 4. Defects (M3): the Defect Register IDs (#125) that affect the criterion, or None. 5. Acceptance criterion status (M3): one of Met, Partially met, Not met, Not yet verified, or Changed or removed under CR-nnn. Not yet verified is used only during M3, and no row may hold it at the Final. The title cell is updated to describe the five columns and their values. Column F keeps its pointer to the requirements registers, and column M (CR-003) keeps naming the test files and pull requests.</t>
        </is>
      </c>
      <c r="E8" s="10" t="inlineStr">
        <is>
          <t xml:space="preserve">The M3 brief (s12) requires the RTM to carry each implemented requirement through to its test cases, expected result, execution evidence and defect status. The Final brief (s9) calculates Scope Completion from a status for each M1 acceptance criterion (Met 1.0, Partially met 0.5, Not met 0.0). With these columns every one of the 42 criteria (29 FR, 13 NFR) has a status from M3 onwards, and the percentage is a calculation over one column rather than a reconstruction at the end.</t>
        </is>
      </c>
      <c r="F8" s="10" t="inlineStr">
        <is>
          <t xml:space="preserve">None. Every requirement keeps its row and its criterion.</t>
        </is>
      </c>
      <c r="G8" s="10" t="inlineStr">
        <is>
          <t xml:space="preserve">None</t>
        </is>
      </c>
      <c r="H8" s="10" t="inlineStr">
        <is>
          <t xml:space="preserve">None</t>
        </is>
      </c>
      <c r="I8" s="10" t="inlineStr">
        <is>
          <t xml:space="preserve">None</t>
        </is>
      </c>
      <c r="J8" s="10" t="inlineStr">
        <is>
          <t xml:space="preserve">Each criterion is tied to designed test cases and a run, and an unverified criterion is visible as such.</t>
        </is>
      </c>
      <c r="K8" s="10" t="inlineStr">
        <is>
          <t xml:space="preserve">None. Changed or removed criteria are counted against the changed baseline with their CR reference, as the Final brief requires.</t>
        </is>
      </c>
      <c r="L8" s="10" t="inlineStr">
        <is>
          <t xml:space="preserve">Part of #126.</t>
        </is>
      </c>
      <c r="M8" s="10" t="inlineStr">
        <is>
          <t xml:space="preserve">None</t>
        </is>
      </c>
      <c r="N8" s="10" t="inlineStr">
        <is>
          <t xml:space="preserve">None new. Gaps in verification show up during M3, while there is time to close them.</t>
        </is>
      </c>
      <c r="O8" s="10" t="inlineStr">
        <is>
          <t xml:space="preserve">ACCEPT</t>
        </is>
      </c>
      <c r="P8" s="10" t="inlineStr">
        <is>
          <t xml:space="preserve">Approved. Proposed on #126 on 7 October 2026; Tristan Roets agreed there on 12 October 2026, and Darius Mushi on 18 October 2026, on the condition that the Scope Completion Percentage is counted per acceptance criterion, since some requirements hold several criteria in one row. The columns are added and filled for the Final (#128).</t>
        </is>
      </c>
    </row>
  </sheetData>
  <autoFilter ref="A2:P8"/>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834</v>
      </c>
    </row>
    <row r="8" customFormat="false" ht="15" hidden="false" customHeight="false" outlineLevel="0" collapsed="false">
      <c r="A8" s="10" t="s">
        <v>837</v>
      </c>
      <c r="B8" s="10" t="s">
        <v>834</v>
      </c>
      <c r="C8" s="10" t="s">
        <v>831</v>
      </c>
      <c r="D8" s="10" t="s">
        <v>834</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834</v>
      </c>
    </row>
    <row r="13" customFormat="false" ht="15" hidden="false" customHeight="false" outlineLevel="0" collapsed="false">
      <c r="A13" s="9" t="s">
        <v>842</v>
      </c>
      <c r="B13" s="9" t="s">
        <v>834</v>
      </c>
      <c r="C13" s="9" t="s">
        <v>834</v>
      </c>
      <c r="D13" s="9" t="s">
        <v>831</v>
      </c>
      <c r="E13" s="9" t="s">
        <v>834</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0" hidden="false" customHeight="false" outlineLevel="0" collapsed="false">
      <c r="A16" s="10" t="s">
        <v>1033</v>
      </c>
      <c r="B16" s="10" t="inlineStr">
        <is>
          <t xml:space="preserve">Approved, 30 September 2026, recorded on #69, not at a gate review</t>
        </is>
      </c>
    </row>
    <row r="17" customFormat="false" ht="15.0" hidden="false" customHeight="false" outlineLevel="0" collapsed="false">
      <c r="A17" s="9" t="s">
        <v>1034</v>
      </c>
      <c r="B17" s="9" t="inlineStr">
        <is>
          <t xml:space="preserve">Approved, 30 September 2026, recorded on #69, not at a gate review</t>
        </is>
      </c>
    </row>
    <row r="18" customFormat="false" ht="15.0" hidden="false" customHeight="false" outlineLevel="0" collapsed="false">
      <c r="A18" s="10" t="s">
        <v>1035</v>
      </c>
      <c r="B18" s="10" t="inlineStr">
        <is>
          <t xml:space="preserve">Approved, 30 September 2026, recorded on #69, not at a gate review</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